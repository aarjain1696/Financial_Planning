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ustomProperty1.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aarjavjain/OneDrive - Syracuse University/Syracuse Semesters/Sem 4/Financial Modelling/P-05/"/>
    </mc:Choice>
  </mc:AlternateContent>
  <xr:revisionPtr revIDLastSave="0" documentId="13_ncr:1_{B1DFDD31-9978-A345-99DA-A887F6BFB7E2}" xr6:coauthVersionLast="47" xr6:coauthVersionMax="47" xr10:uidLastSave="{00000000-0000-0000-0000-000000000000}"/>
  <bookViews>
    <workbookView xWindow="0" yWindow="500" windowWidth="33600" windowHeight="18620" xr2:uid="{00000000-000D-0000-FFFF-FFFF00000000}"/>
  </bookViews>
  <sheets>
    <sheet name="User Guide" sheetId="3" r:id="rId1"/>
    <sheet name="Model" sheetId="1" r:id="rId2"/>
  </sheets>
  <externalReferences>
    <externalReference r:id="rId3"/>
  </externalReferences>
  <definedNames>
    <definedName name="CurrentAge" localSheetId="0">[1]Model!$B$9</definedName>
    <definedName name="CurrentAge">Model!$B$9</definedName>
    <definedName name="NTrials">Model!$J$32</definedName>
    <definedName name="PlanningHorizon">Model!$DB$10</definedName>
    <definedName name="RandomSeed">Model!$J$31</definedName>
    <definedName name="ReqSavingRate">Model!$J$27</definedName>
    <definedName name="RetirementAge" localSheetId="0">[1]Model!$B$15</definedName>
    <definedName name="RetirementAge">Model!$B$15</definedName>
    <definedName name="SavingRate" localSheetId="0">[1]Model!$B$11</definedName>
    <definedName name="SavingRate">Model!$B$11</definedName>
    <definedName name="SavingRateCopy">Model!$DB$15</definedName>
    <definedName name="SavingRateReq">Model!$DB$16</definedName>
    <definedName name="Shortfall" localSheetId="0">[1]Model!$J$26</definedName>
    <definedName name="Shortfall">Model!$J$26</definedName>
    <definedName name="solver_adj" localSheetId="1" hidden="1">Model!$B$34:$B$35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Model!$B$48</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definedName>
    <definedName name="solver_nwt" localSheetId="1" hidden="1">1</definedName>
    <definedName name="solver_opt" localSheetId="1" hidden="1">Model!$B$47</definedName>
    <definedName name="solver_pre" localSheetId="1" hidden="1">0.000001</definedName>
    <definedName name="solver_rbv" localSheetId="1" hidden="1">1</definedName>
    <definedName name="solver_rel1" localSheetId="1" hidden="1">2</definedName>
    <definedName name="solver_rhs1"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Trial_Store">Model!$DF$3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G36" i="1" l="1"/>
  <c r="GF36" i="1"/>
  <c r="GE36" i="1"/>
  <c r="GB36" i="1"/>
  <c r="GF35" i="1"/>
  <c r="GE35" i="1"/>
  <c r="GE34" i="1"/>
  <c r="GG33" i="1"/>
  <c r="GF33" i="1"/>
  <c r="GE33" i="1"/>
  <c r="FG36" i="1"/>
  <c r="FF36" i="1"/>
  <c r="FE36" i="1"/>
  <c r="FB36" i="1"/>
  <c r="FF35" i="1"/>
  <c r="FE35" i="1"/>
  <c r="FE34" i="1"/>
  <c r="FG33" i="1"/>
  <c r="FF33" i="1"/>
  <c r="FE33" i="1"/>
  <c r="J36" i="1" l="1"/>
  <c r="BK4" i="1"/>
  <c r="J34" i="1"/>
  <c r="DE27" i="1" l="1"/>
  <c r="DE28" i="1" s="1"/>
  <c r="DE29" i="1" s="1"/>
  <c r="DE30" i="1" s="1"/>
  <c r="DE31" i="1" s="1"/>
  <c r="DE32" i="1" s="1"/>
  <c r="DE33" i="1" s="1"/>
  <c r="DE34" i="1" s="1"/>
  <c r="DE35" i="1" s="1"/>
  <c r="DE36" i="1" s="1"/>
  <c r="DE37" i="1" s="1"/>
  <c r="DE38" i="1" s="1"/>
  <c r="DE39" i="1" s="1"/>
  <c r="DE40" i="1" s="1"/>
  <c r="DE41" i="1" s="1"/>
  <c r="DE42" i="1" s="1"/>
  <c r="DB10" i="1"/>
  <c r="AA7" i="1" l="1"/>
  <c r="AA8" i="1" s="1"/>
  <c r="AR6" i="1"/>
  <c r="DB7" i="1"/>
  <c r="AA6" i="1"/>
  <c r="Z6" i="1" s="1"/>
  <c r="Z7" i="1" s="1"/>
  <c r="Z8" i="1" s="1"/>
  <c r="Z9" i="1" s="1"/>
  <c r="Z10" i="1" s="1"/>
  <c r="Z11" i="1" s="1"/>
  <c r="Z12" i="1" s="1"/>
  <c r="Z13" i="1" s="1"/>
  <c r="Z14" i="1" s="1"/>
  <c r="Z15" i="1" s="1"/>
  <c r="Z16" i="1" s="1"/>
  <c r="Z17" i="1" s="1"/>
  <c r="Z18" i="1" s="1"/>
  <c r="Z19" i="1" s="1"/>
  <c r="Z20" i="1" s="1"/>
  <c r="Z21" i="1" s="1"/>
  <c r="Z22" i="1" s="1"/>
  <c r="Z23" i="1" s="1"/>
  <c r="Z24" i="1" s="1"/>
  <c r="Z25" i="1" s="1"/>
  <c r="Z26" i="1" s="1"/>
  <c r="Z27" i="1" s="1"/>
  <c r="Z28" i="1" s="1"/>
  <c r="Z29" i="1" s="1"/>
  <c r="Z30" i="1" s="1"/>
  <c r="Z31" i="1" s="1"/>
  <c r="Z32" i="1" s="1"/>
  <c r="Z33" i="1" s="1"/>
  <c r="Z34" i="1" s="1"/>
  <c r="Z35" i="1" s="1"/>
  <c r="Z36" i="1" s="1"/>
  <c r="Z37" i="1" s="1"/>
  <c r="Z38" i="1" s="1"/>
  <c r="Z39" i="1" s="1"/>
  <c r="Z40" i="1" s="1"/>
  <c r="Z41" i="1" s="1"/>
  <c r="Z42" i="1" s="1"/>
  <c r="Z43" i="1" s="1"/>
  <c r="Z44" i="1" s="1"/>
  <c r="Z45" i="1" s="1"/>
  <c r="Z46" i="1" s="1"/>
  <c r="Z47" i="1" s="1"/>
  <c r="Z48" i="1" s="1"/>
  <c r="Z49" i="1" s="1"/>
  <c r="Z50" i="1" s="1"/>
  <c r="Z51" i="1" s="1"/>
  <c r="Z52" i="1" s="1"/>
  <c r="Z53" i="1" s="1"/>
  <c r="Z54" i="1" s="1"/>
  <c r="Z55" i="1" s="1"/>
  <c r="Z56" i="1" s="1"/>
  <c r="Z57" i="1" s="1"/>
  <c r="Z58" i="1" s="1"/>
  <c r="Z59" i="1" s="1"/>
  <c r="Z60" i="1" s="1"/>
  <c r="Z61" i="1" s="1"/>
  <c r="Z62" i="1" s="1"/>
  <c r="Z63" i="1" s="1"/>
  <c r="Z64" i="1" s="1"/>
  <c r="Z65" i="1" s="1"/>
  <c r="Z66" i="1" s="1"/>
  <c r="Z67" i="1" s="1"/>
  <c r="Z68" i="1" s="1"/>
  <c r="Z69" i="1" s="1"/>
  <c r="Z70" i="1" s="1"/>
  <c r="Z71" i="1" s="1"/>
  <c r="Z72" i="1" s="1"/>
  <c r="Z73" i="1" s="1"/>
  <c r="Z74" i="1" s="1"/>
  <c r="Z75" i="1" s="1"/>
  <c r="Z76" i="1" s="1"/>
  <c r="Z77" i="1" s="1"/>
  <c r="Z78" i="1" s="1"/>
  <c r="Z79" i="1" s="1"/>
  <c r="Z80" i="1" s="1"/>
  <c r="Z81" i="1" s="1"/>
  <c r="Z82" i="1" s="1"/>
  <c r="Z83" i="1" s="1"/>
  <c r="Z84" i="1" s="1"/>
  <c r="Z85" i="1" s="1"/>
  <c r="Z86" i="1" s="1"/>
  <c r="Z87" i="1" s="1"/>
  <c r="Z88" i="1" s="1"/>
  <c r="Z89" i="1" s="1"/>
  <c r="Z90" i="1" s="1"/>
  <c r="Z91" i="1" s="1"/>
  <c r="Z92" i="1" s="1"/>
  <c r="Z93" i="1" s="1"/>
  <c r="Z94" i="1" s="1"/>
  <c r="Z95" i="1" s="1"/>
  <c r="Z96" i="1" s="1"/>
  <c r="Z97" i="1" s="1"/>
  <c r="Z98" i="1" s="1"/>
  <c r="Z99" i="1" s="1"/>
  <c r="Z100" i="1" s="1"/>
  <c r="Z101" i="1" s="1"/>
  <c r="Z102" i="1" s="1"/>
  <c r="Z103" i="1" s="1"/>
  <c r="Z104" i="1" s="1"/>
  <c r="Z105" i="1" s="1"/>
  <c r="Z106" i="1" s="1"/>
  <c r="B36" i="1"/>
  <c r="F36" i="1"/>
  <c r="E36" i="1"/>
  <c r="E35" i="1"/>
  <c r="G33" i="1"/>
  <c r="F33" i="1"/>
  <c r="E33" i="1"/>
  <c r="AE7" i="1" l="1"/>
  <c r="AC7" i="1"/>
  <c r="B46" i="1"/>
  <c r="B48" i="1"/>
  <c r="B45" i="1"/>
  <c r="DC13" i="1"/>
  <c r="DC12" i="1"/>
  <c r="AA9" i="1"/>
  <c r="AE8" i="1"/>
  <c r="AC8" i="1"/>
  <c r="G36" i="1"/>
  <c r="F35" i="1"/>
  <c r="E34" i="1"/>
  <c r="B47" i="1" l="1"/>
  <c r="AO7" i="1"/>
  <c r="AP7" i="1" s="1"/>
  <c r="AO8" i="1"/>
  <c r="AA10" i="1"/>
  <c r="AH10" i="1" s="1"/>
  <c r="AC9" i="1"/>
  <c r="AE9" i="1"/>
  <c r="AO9" i="1"/>
  <c r="AD7" i="1"/>
  <c r="AF7" i="1"/>
  <c r="AL7" i="1"/>
  <c r="AI7" i="1"/>
  <c r="AH7" i="1"/>
  <c r="AB7" i="1"/>
  <c r="AL9" i="1"/>
  <c r="AI9" i="1"/>
  <c r="AH9" i="1"/>
  <c r="AB9" i="1"/>
  <c r="AI8" i="1"/>
  <c r="AH8" i="1"/>
  <c r="AB8" i="1"/>
  <c r="AL8" i="1"/>
  <c r="AI10" i="1" l="1"/>
  <c r="AL10" i="1"/>
  <c r="AB10" i="1"/>
  <c r="AA11" i="1"/>
  <c r="AC10" i="1"/>
  <c r="AE10" i="1"/>
  <c r="AO10" i="1"/>
  <c r="AF8" i="1"/>
  <c r="AF9" i="1" s="1"/>
  <c r="AG7" i="1"/>
  <c r="AJ7" i="1" s="1"/>
  <c r="AD8" i="1"/>
  <c r="AK7" i="1"/>
  <c r="AM7" i="1" s="1"/>
  <c r="AF10" i="1" l="1"/>
  <c r="AA12" i="1"/>
  <c r="AE11" i="1"/>
  <c r="AO11" i="1"/>
  <c r="AC11" i="1"/>
  <c r="AI11" i="1"/>
  <c r="AH11" i="1"/>
  <c r="AB11" i="1"/>
  <c r="AL11" i="1"/>
  <c r="AN7" i="1"/>
  <c r="AQ7" i="1" s="1"/>
  <c r="AR7" i="1" s="1"/>
  <c r="AP8" i="1" s="1"/>
  <c r="AG8" i="1"/>
  <c r="AJ8" i="1" s="1"/>
  <c r="AK8" i="1"/>
  <c r="AM8" i="1" s="1"/>
  <c r="AD9" i="1"/>
  <c r="AA13" i="1" l="1"/>
  <c r="AO12" i="1"/>
  <c r="AE12" i="1"/>
  <c r="AC12" i="1"/>
  <c r="AI12" i="1"/>
  <c r="AB12" i="1"/>
  <c r="AH12" i="1"/>
  <c r="AL12" i="1"/>
  <c r="AF11" i="1"/>
  <c r="AN8" i="1"/>
  <c r="AQ8" i="1" s="1"/>
  <c r="AR8" i="1" s="1"/>
  <c r="AP9" i="1" s="1"/>
  <c r="AD10" i="1"/>
  <c r="AG9" i="1"/>
  <c r="AJ9" i="1" s="1"/>
  <c r="AK9" i="1"/>
  <c r="AM9" i="1" s="1"/>
  <c r="AF12" i="1" l="1"/>
  <c r="AA14" i="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A45" i="1" s="1"/>
  <c r="AA46" i="1" s="1"/>
  <c r="AA47" i="1" s="1"/>
  <c r="AA48" i="1" s="1"/>
  <c r="AA49" i="1" s="1"/>
  <c r="AA50" i="1" s="1"/>
  <c r="AA51" i="1" s="1"/>
  <c r="AA52" i="1" s="1"/>
  <c r="AA53" i="1" s="1"/>
  <c r="AA54" i="1" s="1"/>
  <c r="AA55" i="1" s="1"/>
  <c r="AA56" i="1" s="1"/>
  <c r="AA57" i="1" s="1"/>
  <c r="AA58" i="1" s="1"/>
  <c r="AA59" i="1" s="1"/>
  <c r="AA60" i="1" s="1"/>
  <c r="AA61" i="1" s="1"/>
  <c r="AA62" i="1" s="1"/>
  <c r="AA63" i="1" s="1"/>
  <c r="AA64" i="1" s="1"/>
  <c r="AA65" i="1" s="1"/>
  <c r="AA66" i="1" s="1"/>
  <c r="AA67" i="1" s="1"/>
  <c r="AA68" i="1" s="1"/>
  <c r="AA69" i="1" s="1"/>
  <c r="AA70" i="1" s="1"/>
  <c r="AA71" i="1" s="1"/>
  <c r="AA72" i="1" s="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A102" i="1" s="1"/>
  <c r="AA103" i="1" s="1"/>
  <c r="AA104" i="1" s="1"/>
  <c r="AA105" i="1" s="1"/>
  <c r="AA106" i="1" s="1"/>
  <c r="AO13" i="1"/>
  <c r="AC13" i="1"/>
  <c r="AE13" i="1"/>
  <c r="AL13" i="1"/>
  <c r="AI13" i="1"/>
  <c r="AB13" i="1"/>
  <c r="AH13" i="1"/>
  <c r="AN9" i="1"/>
  <c r="AQ9" i="1" s="1"/>
  <c r="AR9" i="1" s="1"/>
  <c r="AP10" i="1" s="1"/>
  <c r="AD11" i="1"/>
  <c r="AK10" i="1"/>
  <c r="AM10" i="1" s="1"/>
  <c r="AG10" i="1"/>
  <c r="AJ10" i="1" s="1"/>
  <c r="AF13" i="1" l="1"/>
  <c r="AN10" i="1"/>
  <c r="AQ10" i="1" s="1"/>
  <c r="AR10" i="1" s="1"/>
  <c r="AP11" i="1" s="1"/>
  <c r="AD12" i="1"/>
  <c r="AK11" i="1"/>
  <c r="AM11" i="1" s="1"/>
  <c r="AG11" i="1"/>
  <c r="AJ11" i="1" s="1"/>
  <c r="AN11" i="1" l="1"/>
  <c r="AQ11" i="1" s="1"/>
  <c r="AR11" i="1" s="1"/>
  <c r="AP12" i="1" s="1"/>
  <c r="AD13" i="1"/>
  <c r="AG12" i="1"/>
  <c r="AJ12" i="1" s="1"/>
  <c r="AK12" i="1"/>
  <c r="AM12" i="1" s="1"/>
  <c r="AN12" i="1" l="1"/>
  <c r="AQ12" i="1" s="1"/>
  <c r="AR12" i="1" s="1"/>
  <c r="AP13" i="1" s="1"/>
  <c r="AG13" i="1"/>
  <c r="AJ13" i="1" s="1"/>
  <c r="AK13" i="1"/>
  <c r="AM13" i="1" s="1"/>
  <c r="AN13" i="1" l="1"/>
  <c r="AQ13" i="1" s="1"/>
  <c r="AR13" i="1" s="1"/>
  <c r="AL14" i="1" l="1"/>
  <c r="AI14" i="1"/>
  <c r="AB14" i="1"/>
  <c r="AH14" i="1"/>
  <c r="AC14" i="1"/>
  <c r="AD14" i="1" s="1"/>
  <c r="AO14" i="1"/>
  <c r="AP14" i="1" s="1"/>
  <c r="AE14" i="1"/>
  <c r="AF14" i="1" s="1"/>
  <c r="AK14" i="1" l="1"/>
  <c r="AM14" i="1" s="1"/>
  <c r="AG14" i="1"/>
  <c r="AJ14" i="1" s="1"/>
  <c r="AE15" i="1"/>
  <c r="AF15" i="1" s="1"/>
  <c r="AL15" i="1"/>
  <c r="AI15" i="1"/>
  <c r="AH17" i="1"/>
  <c r="AI17" i="1"/>
  <c r="AE17" i="1"/>
  <c r="AL17" i="1"/>
  <c r="AO17" i="1"/>
  <c r="AB17" i="1"/>
  <c r="AC17" i="1"/>
  <c r="AL16" i="1"/>
  <c r="AE16" i="1"/>
  <c r="AB16" i="1"/>
  <c r="AH16" i="1"/>
  <c r="AO16" i="1"/>
  <c r="AI16" i="1"/>
  <c r="AC16" i="1"/>
  <c r="AC15" i="1"/>
  <c r="AD15" i="1" s="1"/>
  <c r="AB15" i="1"/>
  <c r="AO15" i="1"/>
  <c r="AH15" i="1"/>
  <c r="AN14" i="1" l="1"/>
  <c r="AQ14" i="1" s="1"/>
  <c r="AR14" i="1" s="1"/>
  <c r="AP15" i="1" s="1"/>
  <c r="AG15" i="1"/>
  <c r="AJ15" i="1" s="1"/>
  <c r="AK15" i="1"/>
  <c r="AM15" i="1" s="1"/>
  <c r="AD16" i="1"/>
  <c r="AG16" i="1" s="1"/>
  <c r="AJ16" i="1" s="1"/>
  <c r="AF16" i="1"/>
  <c r="AF17" i="1" s="1"/>
  <c r="AI18" i="1"/>
  <c r="AL18" i="1"/>
  <c r="AO18" i="1"/>
  <c r="AB18" i="1"/>
  <c r="AC18" i="1"/>
  <c r="AH18" i="1"/>
  <c r="AE18" i="1"/>
  <c r="AF18" i="1" l="1"/>
  <c r="AD17" i="1"/>
  <c r="AD18" i="1" s="1"/>
  <c r="AK16" i="1"/>
  <c r="AM16" i="1" s="1"/>
  <c r="AN16" i="1" s="1"/>
  <c r="AQ16" i="1" s="1"/>
  <c r="AN15" i="1"/>
  <c r="AQ15" i="1" s="1"/>
  <c r="AR15" i="1" s="1"/>
  <c r="AP16" i="1" s="1"/>
  <c r="AH19" i="1"/>
  <c r="AI19" i="1"/>
  <c r="AE19" i="1"/>
  <c r="AC19" i="1"/>
  <c r="AL19" i="1"/>
  <c r="AB19" i="1"/>
  <c r="AO19" i="1"/>
  <c r="AF19" i="1" l="1"/>
  <c r="AK17" i="1"/>
  <c r="AM17" i="1" s="1"/>
  <c r="AR16" i="1"/>
  <c r="AP17" i="1" s="1"/>
  <c r="AK18" i="1"/>
  <c r="AM18" i="1" s="1"/>
  <c r="AG18" i="1"/>
  <c r="AJ18" i="1" s="1"/>
  <c r="AD19" i="1"/>
  <c r="AK19" i="1" s="1"/>
  <c r="AM19" i="1" s="1"/>
  <c r="AG17" i="1"/>
  <c r="AJ17" i="1" s="1"/>
  <c r="AH20" i="1"/>
  <c r="AC20" i="1"/>
  <c r="AB20" i="1"/>
  <c r="AL20" i="1"/>
  <c r="AO20" i="1"/>
  <c r="AI20" i="1"/>
  <c r="AE20" i="1"/>
  <c r="AF20" i="1" l="1"/>
  <c r="AN17" i="1"/>
  <c r="AQ17" i="1" s="1"/>
  <c r="AR17" i="1" s="1"/>
  <c r="AP18" i="1" s="1"/>
  <c r="AN18" i="1"/>
  <c r="AQ18" i="1" s="1"/>
  <c r="AD20" i="1"/>
  <c r="AG20" i="1" s="1"/>
  <c r="AJ20" i="1" s="1"/>
  <c r="AG19" i="1"/>
  <c r="AJ19" i="1" s="1"/>
  <c r="AN19" i="1" s="1"/>
  <c r="AQ19" i="1" s="1"/>
  <c r="AC21" i="1"/>
  <c r="AO21" i="1"/>
  <c r="AI21" i="1"/>
  <c r="AE21" i="1"/>
  <c r="AL21" i="1"/>
  <c r="AB21" i="1"/>
  <c r="AH21" i="1"/>
  <c r="AF21" i="1" l="1"/>
  <c r="AR18" i="1"/>
  <c r="AP19" i="1" s="1"/>
  <c r="AR19" i="1" s="1"/>
  <c r="AP20" i="1" s="1"/>
  <c r="AK20" i="1"/>
  <c r="AM20" i="1" s="1"/>
  <c r="AN20" i="1" s="1"/>
  <c r="AQ20" i="1" s="1"/>
  <c r="AD21" i="1"/>
  <c r="AK21" i="1" s="1"/>
  <c r="AM21" i="1" s="1"/>
  <c r="AI22" i="1"/>
  <c r="AL22" i="1"/>
  <c r="AE22" i="1"/>
  <c r="AC22" i="1"/>
  <c r="AH22" i="1"/>
  <c r="AB22" i="1"/>
  <c r="AO22" i="1"/>
  <c r="AF22" i="1" l="1"/>
  <c r="AR20" i="1"/>
  <c r="AP21" i="1" s="1"/>
  <c r="AG21" i="1"/>
  <c r="AJ21" i="1" s="1"/>
  <c r="AN21" i="1" s="1"/>
  <c r="AQ21" i="1" s="1"/>
  <c r="AD22" i="1"/>
  <c r="AG22" i="1" s="1"/>
  <c r="AJ22" i="1" s="1"/>
  <c r="AL23" i="1"/>
  <c r="AC23" i="1"/>
  <c r="AI23" i="1"/>
  <c r="AE23" i="1"/>
  <c r="AB23" i="1"/>
  <c r="AH23" i="1"/>
  <c r="AO23" i="1"/>
  <c r="AF23" i="1" l="1"/>
  <c r="AR21" i="1"/>
  <c r="AP22" i="1" s="1"/>
  <c r="AD23" i="1"/>
  <c r="AG23" i="1" s="1"/>
  <c r="AJ23" i="1" s="1"/>
  <c r="AK22" i="1"/>
  <c r="AM22" i="1" s="1"/>
  <c r="AN22" i="1" s="1"/>
  <c r="AQ22" i="1" s="1"/>
  <c r="AH24" i="1"/>
  <c r="AE24" i="1"/>
  <c r="AI24" i="1"/>
  <c r="AO24" i="1"/>
  <c r="AL24" i="1"/>
  <c r="AC24" i="1"/>
  <c r="AB24" i="1"/>
  <c r="AF24" i="1" l="1"/>
  <c r="AR22" i="1"/>
  <c r="AP23" i="1" s="1"/>
  <c r="AD24" i="1"/>
  <c r="AK24" i="1" s="1"/>
  <c r="AM24" i="1" s="1"/>
  <c r="AK23" i="1"/>
  <c r="AM23" i="1" s="1"/>
  <c r="AN23" i="1" s="1"/>
  <c r="AQ23" i="1" s="1"/>
  <c r="AL25" i="1"/>
  <c r="AC25" i="1"/>
  <c r="AB25" i="1"/>
  <c r="AE25" i="1"/>
  <c r="AH25" i="1"/>
  <c r="AI25" i="1"/>
  <c r="AO25" i="1"/>
  <c r="AF25" i="1" l="1"/>
  <c r="AR23" i="1"/>
  <c r="AP24" i="1" s="1"/>
  <c r="AD25" i="1"/>
  <c r="AG25" i="1" s="1"/>
  <c r="AJ25" i="1" s="1"/>
  <c r="AG24" i="1"/>
  <c r="AJ24" i="1" s="1"/>
  <c r="AN24" i="1" s="1"/>
  <c r="AQ24" i="1" s="1"/>
  <c r="AB26" i="1"/>
  <c r="AH26" i="1"/>
  <c r="AO26" i="1"/>
  <c r="AE26" i="1"/>
  <c r="AI26" i="1"/>
  <c r="AL26" i="1"/>
  <c r="AC26" i="1"/>
  <c r="AF26" i="1" l="1"/>
  <c r="AK25" i="1"/>
  <c r="AM25" i="1" s="1"/>
  <c r="AN25" i="1" s="1"/>
  <c r="AQ25" i="1" s="1"/>
  <c r="AD26" i="1"/>
  <c r="AK26" i="1" s="1"/>
  <c r="AM26" i="1" s="1"/>
  <c r="AR24" i="1"/>
  <c r="AP25" i="1" s="1"/>
  <c r="AH27" i="1"/>
  <c r="AI27" i="1"/>
  <c r="AE27" i="1"/>
  <c r="AC27" i="1"/>
  <c r="AL27" i="1"/>
  <c r="AB27" i="1"/>
  <c r="AO27" i="1"/>
  <c r="AF27" i="1" l="1"/>
  <c r="AD27" i="1"/>
  <c r="AK27" i="1" s="1"/>
  <c r="AM27" i="1" s="1"/>
  <c r="AG26" i="1"/>
  <c r="AJ26" i="1" s="1"/>
  <c r="AN26" i="1" s="1"/>
  <c r="AQ26" i="1" s="1"/>
  <c r="AR25" i="1"/>
  <c r="AP26" i="1" s="1"/>
  <c r="AI28" i="1"/>
  <c r="AB28" i="1"/>
  <c r="AL28" i="1"/>
  <c r="AC28" i="1"/>
  <c r="AH28" i="1"/>
  <c r="AE28" i="1"/>
  <c r="AO28" i="1"/>
  <c r="AF28" i="1" l="1"/>
  <c r="AD28" i="1"/>
  <c r="AG28" i="1" s="1"/>
  <c r="AJ28" i="1" s="1"/>
  <c r="AG27" i="1"/>
  <c r="AJ27" i="1" s="1"/>
  <c r="AN27" i="1" s="1"/>
  <c r="AQ27" i="1" s="1"/>
  <c r="AR26" i="1"/>
  <c r="AP27" i="1" s="1"/>
  <c r="AL29" i="1"/>
  <c r="AE29" i="1"/>
  <c r="AI29" i="1"/>
  <c r="AO29" i="1"/>
  <c r="AB29" i="1"/>
  <c r="AC29" i="1"/>
  <c r="AH29" i="1"/>
  <c r="AF29" i="1" l="1"/>
  <c r="AK28" i="1"/>
  <c r="AM28" i="1" s="1"/>
  <c r="AN28" i="1" s="1"/>
  <c r="AQ28" i="1" s="1"/>
  <c r="AD29" i="1"/>
  <c r="AK29" i="1" s="1"/>
  <c r="AM29" i="1" s="1"/>
  <c r="AR27" i="1"/>
  <c r="AP28" i="1" s="1"/>
  <c r="AH30" i="1"/>
  <c r="AL30" i="1"/>
  <c r="AB30" i="1"/>
  <c r="AC30" i="1"/>
  <c r="AI30" i="1"/>
  <c r="AO30" i="1"/>
  <c r="AE30" i="1"/>
  <c r="AF30" i="1" l="1"/>
  <c r="AD30" i="1"/>
  <c r="AG30" i="1" s="1"/>
  <c r="AJ30" i="1" s="1"/>
  <c r="AG29" i="1"/>
  <c r="AJ29" i="1" s="1"/>
  <c r="AN29" i="1" s="1"/>
  <c r="AQ29" i="1" s="1"/>
  <c r="AR28" i="1"/>
  <c r="AP29" i="1" s="1"/>
  <c r="AB31" i="1"/>
  <c r="AL31" i="1"/>
  <c r="AE31" i="1"/>
  <c r="AH31" i="1"/>
  <c r="AO31" i="1"/>
  <c r="AI31" i="1"/>
  <c r="AC31" i="1"/>
  <c r="AF31" i="1" l="1"/>
  <c r="AK30" i="1"/>
  <c r="AM30" i="1" s="1"/>
  <c r="AN30" i="1" s="1"/>
  <c r="AQ30" i="1" s="1"/>
  <c r="AD31" i="1"/>
  <c r="AK31" i="1" s="1"/>
  <c r="AM31" i="1" s="1"/>
  <c r="AR29" i="1"/>
  <c r="AP30" i="1" s="1"/>
  <c r="AH32" i="1"/>
  <c r="AE32" i="1"/>
  <c r="AO32" i="1"/>
  <c r="AL32" i="1"/>
  <c r="AC32" i="1"/>
  <c r="AI32" i="1"/>
  <c r="AB32" i="1"/>
  <c r="AF32" i="1" l="1"/>
  <c r="AD32" i="1"/>
  <c r="AK32" i="1" s="1"/>
  <c r="AM32" i="1" s="1"/>
  <c r="AG31" i="1"/>
  <c r="AJ31" i="1" s="1"/>
  <c r="AN31" i="1" s="1"/>
  <c r="AQ31" i="1" s="1"/>
  <c r="AR30" i="1"/>
  <c r="AP31" i="1" s="1"/>
  <c r="AH33" i="1"/>
  <c r="AI33" i="1"/>
  <c r="AE33" i="1"/>
  <c r="AC33" i="1"/>
  <c r="AL33" i="1"/>
  <c r="AB33" i="1"/>
  <c r="AO33" i="1"/>
  <c r="AF33" i="1" l="1"/>
  <c r="AD33" i="1"/>
  <c r="AK33" i="1" s="1"/>
  <c r="AM33" i="1" s="1"/>
  <c r="AG32" i="1"/>
  <c r="AJ32" i="1" s="1"/>
  <c r="AN32" i="1" s="1"/>
  <c r="AQ32" i="1" s="1"/>
  <c r="AR31" i="1"/>
  <c r="AP32" i="1" s="1"/>
  <c r="AC34" i="1"/>
  <c r="AO34" i="1"/>
  <c r="AI34" i="1"/>
  <c r="AE34" i="1"/>
  <c r="AH34" i="1"/>
  <c r="AB34" i="1"/>
  <c r="AL34" i="1"/>
  <c r="AF34" i="1" l="1"/>
  <c r="AD34" i="1"/>
  <c r="AK34" i="1" s="1"/>
  <c r="AM34" i="1" s="1"/>
  <c r="AG33" i="1"/>
  <c r="AJ33" i="1" s="1"/>
  <c r="AN33" i="1" s="1"/>
  <c r="AQ33" i="1" s="1"/>
  <c r="AR32" i="1"/>
  <c r="AP33" i="1" s="1"/>
  <c r="AB35" i="1"/>
  <c r="AL35" i="1"/>
  <c r="AO35" i="1"/>
  <c r="AC35" i="1"/>
  <c r="AI35" i="1"/>
  <c r="AE35" i="1"/>
  <c r="AH35" i="1"/>
  <c r="AF35" i="1" l="1"/>
  <c r="AG34" i="1"/>
  <c r="AJ34" i="1" s="1"/>
  <c r="AN34" i="1" s="1"/>
  <c r="AQ34" i="1" s="1"/>
  <c r="AD35" i="1"/>
  <c r="AG35" i="1" s="1"/>
  <c r="AJ35" i="1" s="1"/>
  <c r="AR33" i="1"/>
  <c r="AP34" i="1" s="1"/>
  <c r="AL36" i="1"/>
  <c r="AE36" i="1"/>
  <c r="AH36" i="1"/>
  <c r="AI36" i="1"/>
  <c r="AC36" i="1"/>
  <c r="AB36" i="1"/>
  <c r="AO36" i="1"/>
  <c r="AF36" i="1" l="1"/>
  <c r="AD36" i="1"/>
  <c r="AK36" i="1" s="1"/>
  <c r="AM36" i="1" s="1"/>
  <c r="AK35" i="1"/>
  <c r="AM35" i="1" s="1"/>
  <c r="AN35" i="1" s="1"/>
  <c r="AQ35" i="1" s="1"/>
  <c r="AR34" i="1"/>
  <c r="AP35" i="1" s="1"/>
  <c r="AB37" i="1"/>
  <c r="AO37" i="1"/>
  <c r="AH37" i="1"/>
  <c r="AE37" i="1"/>
  <c r="AI37" i="1"/>
  <c r="AL37" i="1"/>
  <c r="AC37" i="1"/>
  <c r="AF37" i="1" l="1"/>
  <c r="AG36" i="1"/>
  <c r="AJ36" i="1" s="1"/>
  <c r="AN36" i="1" s="1"/>
  <c r="AQ36" i="1" s="1"/>
  <c r="AD37" i="1"/>
  <c r="AG37" i="1" s="1"/>
  <c r="AJ37" i="1" s="1"/>
  <c r="AR35" i="1"/>
  <c r="AP36" i="1" s="1"/>
  <c r="AI38" i="1"/>
  <c r="AO38" i="1"/>
  <c r="AL38" i="1"/>
  <c r="AB38" i="1"/>
  <c r="AE38" i="1"/>
  <c r="AH38" i="1"/>
  <c r="AC38" i="1"/>
  <c r="AF38" i="1" l="1"/>
  <c r="AK37" i="1"/>
  <c r="AM37" i="1" s="1"/>
  <c r="AN37" i="1" s="1"/>
  <c r="AQ37" i="1" s="1"/>
  <c r="AD38" i="1"/>
  <c r="AG38" i="1" s="1"/>
  <c r="AJ38" i="1" s="1"/>
  <c r="AR36" i="1"/>
  <c r="AP37" i="1" s="1"/>
  <c r="AH39" i="1"/>
  <c r="AO39" i="1"/>
  <c r="AI39" i="1"/>
  <c r="AE39" i="1"/>
  <c r="AC39" i="1"/>
  <c r="AL39" i="1"/>
  <c r="AB39" i="1"/>
  <c r="AF39" i="1" l="1"/>
  <c r="AD39" i="1"/>
  <c r="AG39" i="1" s="1"/>
  <c r="AJ39" i="1" s="1"/>
  <c r="AK38" i="1"/>
  <c r="AM38" i="1" s="1"/>
  <c r="AN38" i="1" s="1"/>
  <c r="AQ38" i="1" s="1"/>
  <c r="AR37" i="1"/>
  <c r="AP38" i="1" s="1"/>
  <c r="AI40" i="1"/>
  <c r="AO40" i="1"/>
  <c r="AL40" i="1"/>
  <c r="AH40" i="1"/>
  <c r="AC40" i="1"/>
  <c r="AB40" i="1"/>
  <c r="AE40" i="1"/>
  <c r="AF40" i="1" l="1"/>
  <c r="AD40" i="1"/>
  <c r="AK40" i="1" s="1"/>
  <c r="AM40" i="1" s="1"/>
  <c r="AK39" i="1"/>
  <c r="AM39" i="1" s="1"/>
  <c r="AN39" i="1" s="1"/>
  <c r="AQ39" i="1" s="1"/>
  <c r="AR38" i="1"/>
  <c r="AP39" i="1" s="1"/>
  <c r="AG41" i="1"/>
  <c r="AL41" i="1"/>
  <c r="AC41" i="1"/>
  <c r="AO41" i="1"/>
  <c r="AB41" i="1"/>
  <c r="AI41" i="1"/>
  <c r="AE41" i="1"/>
  <c r="AF41" i="1" l="1"/>
  <c r="AG40" i="1"/>
  <c r="AJ40" i="1" s="1"/>
  <c r="AN40" i="1" s="1"/>
  <c r="AQ40" i="1" s="1"/>
  <c r="AD41" i="1"/>
  <c r="AK41" i="1" s="1"/>
  <c r="AM41" i="1" s="1"/>
  <c r="AR39" i="1"/>
  <c r="AP40" i="1" s="1"/>
  <c r="AL42" i="1"/>
  <c r="AE42" i="1"/>
  <c r="AG42" i="1"/>
  <c r="AB42" i="1"/>
  <c r="AO42" i="1"/>
  <c r="AI42" i="1"/>
  <c r="AC42" i="1"/>
  <c r="AF42" i="1" l="1"/>
  <c r="AH41" i="1"/>
  <c r="AJ41" i="1" s="1"/>
  <c r="AN41" i="1" s="1"/>
  <c r="AQ41" i="1" s="1"/>
  <c r="AD42" i="1"/>
  <c r="AH42" i="1" s="1"/>
  <c r="AJ42" i="1" s="1"/>
  <c r="AR40" i="1"/>
  <c r="AP41" i="1" s="1"/>
  <c r="AG43" i="1"/>
  <c r="AL43" i="1"/>
  <c r="AC43" i="1"/>
  <c r="AB43" i="1"/>
  <c r="AO43" i="1"/>
  <c r="AE43" i="1"/>
  <c r="AF43" i="1" l="1"/>
  <c r="AK42" i="1"/>
  <c r="AM42" i="1" s="1"/>
  <c r="AN42" i="1" s="1"/>
  <c r="AQ42" i="1" s="1"/>
  <c r="AD43" i="1"/>
  <c r="AI43" i="1" s="1"/>
  <c r="AR41" i="1"/>
  <c r="AP42" i="1" s="1"/>
  <c r="AB44" i="1"/>
  <c r="AC44" i="1"/>
  <c r="AL44" i="1"/>
  <c r="AO44" i="1"/>
  <c r="AG44" i="1"/>
  <c r="AE44" i="1"/>
  <c r="AF44" i="1" l="1"/>
  <c r="AK43" i="1"/>
  <c r="AM43" i="1" s="1"/>
  <c r="AH43" i="1"/>
  <c r="AJ43" i="1" s="1"/>
  <c r="AD44" i="1"/>
  <c r="AI44" i="1" s="1"/>
  <c r="AR42" i="1"/>
  <c r="AP43" i="1" s="1"/>
  <c r="AC45" i="1"/>
  <c r="AB45" i="1"/>
  <c r="AE45" i="1"/>
  <c r="AO45" i="1"/>
  <c r="AG45" i="1"/>
  <c r="AL45" i="1"/>
  <c r="AF45" i="1" l="1"/>
  <c r="AN43" i="1"/>
  <c r="AQ43" i="1" s="1"/>
  <c r="AR43" i="1" s="1"/>
  <c r="AP44" i="1" s="1"/>
  <c r="AD45" i="1"/>
  <c r="AI45" i="1" s="1"/>
  <c r="AK44" i="1"/>
  <c r="AM44" i="1" s="1"/>
  <c r="AH44" i="1"/>
  <c r="AJ44" i="1" s="1"/>
  <c r="AG46" i="1"/>
  <c r="AE46" i="1"/>
  <c r="AO46" i="1"/>
  <c r="AL46" i="1"/>
  <c r="AC46" i="1"/>
  <c r="AB46" i="1"/>
  <c r="AF46" i="1" l="1"/>
  <c r="AH45" i="1"/>
  <c r="AJ45" i="1" s="1"/>
  <c r="AK45" i="1"/>
  <c r="AM45" i="1" s="1"/>
  <c r="AN44" i="1"/>
  <c r="AQ44" i="1" s="1"/>
  <c r="AR44" i="1" s="1"/>
  <c r="AP45" i="1" s="1"/>
  <c r="AD46" i="1"/>
  <c r="AK46" i="1" s="1"/>
  <c r="AM46" i="1" s="1"/>
  <c r="AL47" i="1"/>
  <c r="AG47" i="1"/>
  <c r="AB47" i="1"/>
  <c r="AC47" i="1"/>
  <c r="AO47" i="1"/>
  <c r="AE47" i="1"/>
  <c r="AF47" i="1" l="1"/>
  <c r="AN45" i="1"/>
  <c r="AQ45" i="1" s="1"/>
  <c r="AR45" i="1" s="1"/>
  <c r="AP46" i="1" s="1"/>
  <c r="AD47" i="1"/>
  <c r="AI47" i="1" s="1"/>
  <c r="AH46" i="1"/>
  <c r="AI46" i="1"/>
  <c r="AL48" i="1"/>
  <c r="AC48" i="1"/>
  <c r="AG48" i="1"/>
  <c r="AE48" i="1"/>
  <c r="AF48" i="1" s="1"/>
  <c r="AB48" i="1"/>
  <c r="AO48" i="1"/>
  <c r="AH47" i="1" l="1"/>
  <c r="AJ47" i="1" s="1"/>
  <c r="AK47" i="1"/>
  <c r="AM47" i="1" s="1"/>
  <c r="AD48" i="1"/>
  <c r="AI48" i="1" s="1"/>
  <c r="AJ46" i="1"/>
  <c r="AN46" i="1" s="1"/>
  <c r="AQ46" i="1" s="1"/>
  <c r="AR46" i="1" s="1"/>
  <c r="AP47" i="1" s="1"/>
  <c r="AG49" i="1"/>
  <c r="AC49" i="1"/>
  <c r="AO49" i="1"/>
  <c r="AL49" i="1"/>
  <c r="AB49" i="1"/>
  <c r="AE49" i="1"/>
  <c r="AF49" i="1" s="1"/>
  <c r="AH48" i="1" l="1"/>
  <c r="AJ48" i="1" s="1"/>
  <c r="AK48" i="1"/>
  <c r="AM48" i="1" s="1"/>
  <c r="AD49" i="1"/>
  <c r="AH49" i="1" s="1"/>
  <c r="AN47" i="1"/>
  <c r="AQ47" i="1" s="1"/>
  <c r="AR47" i="1" s="1"/>
  <c r="AP48" i="1" s="1"/>
  <c r="AC50" i="1"/>
  <c r="AG50" i="1"/>
  <c r="AL50" i="1"/>
  <c r="AO50" i="1"/>
  <c r="AB50" i="1"/>
  <c r="AE50" i="1"/>
  <c r="AF50" i="1" s="1"/>
  <c r="AK49" i="1" l="1"/>
  <c r="AM49" i="1" s="1"/>
  <c r="AI49" i="1"/>
  <c r="AJ49" i="1" s="1"/>
  <c r="AN48" i="1"/>
  <c r="AQ48" i="1" s="1"/>
  <c r="AR48" i="1" s="1"/>
  <c r="AP49" i="1" s="1"/>
  <c r="AD50" i="1"/>
  <c r="AK50" i="1" s="1"/>
  <c r="AM50" i="1" s="1"/>
  <c r="AB51" i="1"/>
  <c r="AO51" i="1"/>
  <c r="AL51" i="1"/>
  <c r="AH51" i="1"/>
  <c r="AG51" i="1"/>
  <c r="AC51" i="1"/>
  <c r="AE51" i="1"/>
  <c r="AF51" i="1" s="1"/>
  <c r="AN49" i="1" l="1"/>
  <c r="AQ49" i="1" s="1"/>
  <c r="AR49" i="1" s="1"/>
  <c r="AP50" i="1" s="1"/>
  <c r="AH50" i="1"/>
  <c r="AI50" i="1"/>
  <c r="AD51" i="1"/>
  <c r="AI51" i="1" s="1"/>
  <c r="AJ51" i="1" s="1"/>
  <c r="AL52" i="1"/>
  <c r="AH52" i="1"/>
  <c r="AE52" i="1"/>
  <c r="AF52" i="1" s="1"/>
  <c r="AB52" i="1"/>
  <c r="AC52" i="1"/>
  <c r="AG52" i="1"/>
  <c r="AO52" i="1"/>
  <c r="AJ50" i="1" l="1"/>
  <c r="AN50" i="1" s="1"/>
  <c r="AQ50" i="1" s="1"/>
  <c r="AR50" i="1" s="1"/>
  <c r="AP51" i="1" s="1"/>
  <c r="AD52" i="1"/>
  <c r="AK52" i="1" s="1"/>
  <c r="AM52" i="1" s="1"/>
  <c r="AK51" i="1"/>
  <c r="AM51" i="1" s="1"/>
  <c r="AN51" i="1" s="1"/>
  <c r="AQ51" i="1" s="1"/>
  <c r="AB53" i="1"/>
  <c r="AO53" i="1"/>
  <c r="AL53" i="1"/>
  <c r="AH53" i="1"/>
  <c r="AG53" i="1"/>
  <c r="AE53" i="1"/>
  <c r="AF53" i="1" s="1"/>
  <c r="AC53" i="1"/>
  <c r="AI52" i="1" l="1"/>
  <c r="AJ52" i="1" s="1"/>
  <c r="AN52" i="1" s="1"/>
  <c r="AQ52" i="1" s="1"/>
  <c r="AD53" i="1"/>
  <c r="AI53" i="1" s="1"/>
  <c r="AJ53" i="1" s="1"/>
  <c r="AR51" i="1"/>
  <c r="AP52" i="1" s="1"/>
  <c r="AH54" i="1"/>
  <c r="AL54" i="1"/>
  <c r="AG54" i="1"/>
  <c r="AC54" i="1"/>
  <c r="AB54" i="1"/>
  <c r="AO54" i="1"/>
  <c r="AE54" i="1"/>
  <c r="AF54" i="1" s="1"/>
  <c r="AD54" i="1" l="1"/>
  <c r="AI54" i="1" s="1"/>
  <c r="AJ54" i="1" s="1"/>
  <c r="AK53" i="1"/>
  <c r="AM53" i="1" s="1"/>
  <c r="AN53" i="1" s="1"/>
  <c r="AQ53" i="1" s="1"/>
  <c r="AR52" i="1"/>
  <c r="AP53" i="1" s="1"/>
  <c r="AO55" i="1"/>
  <c r="AH55" i="1"/>
  <c r="AB55" i="1"/>
  <c r="AG55" i="1"/>
  <c r="AE55" i="1"/>
  <c r="AF55" i="1" s="1"/>
  <c r="AC55" i="1"/>
  <c r="AL55" i="1"/>
  <c r="AD55" i="1" l="1"/>
  <c r="AI55" i="1" s="1"/>
  <c r="AJ55" i="1" s="1"/>
  <c r="AK54" i="1"/>
  <c r="AM54" i="1" s="1"/>
  <c r="AN54" i="1" s="1"/>
  <c r="AQ54" i="1" s="1"/>
  <c r="AR53" i="1"/>
  <c r="AP54" i="1" s="1"/>
  <c r="AL56" i="1"/>
  <c r="AO56" i="1"/>
  <c r="AG56" i="1"/>
  <c r="AE56" i="1"/>
  <c r="AF56" i="1" s="1"/>
  <c r="AH56" i="1"/>
  <c r="AC56" i="1"/>
  <c r="AB56" i="1"/>
  <c r="AD56" i="1" l="1"/>
  <c r="AK56" i="1" s="1"/>
  <c r="AM56" i="1" s="1"/>
  <c r="AK55" i="1"/>
  <c r="AM55" i="1" s="1"/>
  <c r="AN55" i="1" s="1"/>
  <c r="AQ55" i="1" s="1"/>
  <c r="AR54" i="1"/>
  <c r="AP55" i="1" s="1"/>
  <c r="AL57" i="1"/>
  <c r="AB57" i="1"/>
  <c r="AG57" i="1"/>
  <c r="AE57" i="1"/>
  <c r="AF57" i="1" s="1"/>
  <c r="AC57" i="1"/>
  <c r="AH57" i="1"/>
  <c r="AO57" i="1"/>
  <c r="AD57" i="1" l="1"/>
  <c r="AI57" i="1" s="1"/>
  <c r="AJ57" i="1" s="1"/>
  <c r="AI56" i="1"/>
  <c r="AJ56" i="1" s="1"/>
  <c r="AN56" i="1" s="1"/>
  <c r="AQ56" i="1" s="1"/>
  <c r="AR55" i="1"/>
  <c r="AP56" i="1" s="1"/>
  <c r="AE58" i="1"/>
  <c r="AF58" i="1" s="1"/>
  <c r="AH58" i="1"/>
  <c r="AG58" i="1"/>
  <c r="AC58" i="1"/>
  <c r="AB58" i="1"/>
  <c r="AO58" i="1"/>
  <c r="AD58" i="1" l="1"/>
  <c r="AI58" i="1" s="1"/>
  <c r="AJ58" i="1" s="1"/>
  <c r="AK57" i="1"/>
  <c r="AM57" i="1" s="1"/>
  <c r="AN57" i="1" s="1"/>
  <c r="AQ57" i="1" s="1"/>
  <c r="AR56" i="1"/>
  <c r="AP57" i="1" s="1"/>
  <c r="AE59" i="1"/>
  <c r="AF59" i="1" s="1"/>
  <c r="AO59" i="1"/>
  <c r="AB59" i="1"/>
  <c r="AC59" i="1"/>
  <c r="AH59" i="1"/>
  <c r="AG59" i="1"/>
  <c r="AK58" i="1" l="1"/>
  <c r="AL58" i="1" s="1"/>
  <c r="AM58" i="1" s="1"/>
  <c r="AN58" i="1" s="1"/>
  <c r="AQ58" i="1" s="1"/>
  <c r="AD59" i="1"/>
  <c r="AK59" i="1" s="1"/>
  <c r="AL59" i="1" s="1"/>
  <c r="AM59" i="1" s="1"/>
  <c r="AR57" i="1"/>
  <c r="AP58" i="1" s="1"/>
  <c r="AH60" i="1"/>
  <c r="AC60" i="1"/>
  <c r="AG60" i="1"/>
  <c r="AE60" i="1"/>
  <c r="AF60" i="1" s="1"/>
  <c r="AB60" i="1"/>
  <c r="AO60" i="1"/>
  <c r="AI59" i="1" l="1"/>
  <c r="AJ59" i="1" s="1"/>
  <c r="AN59" i="1" s="1"/>
  <c r="AQ59" i="1" s="1"/>
  <c r="AD60" i="1"/>
  <c r="AK60" i="1" s="1"/>
  <c r="AR58" i="1"/>
  <c r="AP59" i="1" s="1"/>
  <c r="AH61" i="1"/>
  <c r="AB61" i="1"/>
  <c r="AC61" i="1"/>
  <c r="AO61" i="1"/>
  <c r="AE61" i="1"/>
  <c r="AF61" i="1" s="1"/>
  <c r="AG61" i="1"/>
  <c r="AI60" i="1" l="1"/>
  <c r="AJ60" i="1" s="1"/>
  <c r="AD61" i="1"/>
  <c r="AI61" i="1" s="1"/>
  <c r="AJ61" i="1" s="1"/>
  <c r="AR59" i="1"/>
  <c r="AP60" i="1" s="1"/>
  <c r="AL60" i="1"/>
  <c r="AM60" i="1" s="1"/>
  <c r="AB62" i="1"/>
  <c r="AE62" i="1"/>
  <c r="AF62" i="1" s="1"/>
  <c r="AO62" i="1"/>
  <c r="AG62" i="1"/>
  <c r="AH62" i="1"/>
  <c r="AC62" i="1"/>
  <c r="AN60" i="1" l="1"/>
  <c r="AQ60" i="1" s="1"/>
  <c r="AR60" i="1" s="1"/>
  <c r="AP61" i="1" s="1"/>
  <c r="AK61" i="1"/>
  <c r="AL61" i="1" s="1"/>
  <c r="AM61" i="1" s="1"/>
  <c r="AN61" i="1" s="1"/>
  <c r="AQ61" i="1" s="1"/>
  <c r="AD62" i="1"/>
  <c r="AI62" i="1" s="1"/>
  <c r="AJ62" i="1" s="1"/>
  <c r="AC63" i="1"/>
  <c r="AE63" i="1"/>
  <c r="AF63" i="1" s="1"/>
  <c r="AO63" i="1"/>
  <c r="AB63" i="1"/>
  <c r="AH63" i="1"/>
  <c r="AG63" i="1"/>
  <c r="AK62" i="1" l="1"/>
  <c r="AL62" i="1" s="1"/>
  <c r="AM62" i="1" s="1"/>
  <c r="AN62" i="1" s="1"/>
  <c r="AQ62" i="1" s="1"/>
  <c r="AD63" i="1"/>
  <c r="AI63" i="1" s="1"/>
  <c r="AJ63" i="1" s="1"/>
  <c r="AR61" i="1"/>
  <c r="AP62" i="1" s="1"/>
  <c r="AG64" i="1"/>
  <c r="AO64" i="1"/>
  <c r="AE64" i="1"/>
  <c r="AF64" i="1" s="1"/>
  <c r="AH64" i="1"/>
  <c r="AB64" i="1"/>
  <c r="AC64" i="1"/>
  <c r="AD64" i="1" l="1"/>
  <c r="AK64" i="1" s="1"/>
  <c r="AK63" i="1"/>
  <c r="AL63" i="1" s="1"/>
  <c r="AM63" i="1" s="1"/>
  <c r="AN63" i="1" s="1"/>
  <c r="AQ63" i="1" s="1"/>
  <c r="AR62" i="1"/>
  <c r="AP63" i="1" s="1"/>
  <c r="AH65" i="1"/>
  <c r="AG65" i="1"/>
  <c r="AC65" i="1"/>
  <c r="AO65" i="1"/>
  <c r="AE65" i="1"/>
  <c r="AF65" i="1" s="1"/>
  <c r="J24" i="1" s="1" a="1"/>
  <c r="J24" i="1" s="1"/>
  <c r="AB65" i="1"/>
  <c r="AD65" i="1" l="1"/>
  <c r="AK65" i="1" s="1"/>
  <c r="AL65" i="1" s="1"/>
  <c r="AI64" i="1"/>
  <c r="AJ64" i="1" s="1"/>
  <c r="AR63" i="1"/>
  <c r="AP64" i="1" s="1"/>
  <c r="AL64" i="1"/>
  <c r="AM64" i="1" s="1"/>
  <c r="AF66" i="1"/>
  <c r="AP66" i="1"/>
  <c r="AQ66" i="1"/>
  <c r="AJ66" i="1"/>
  <c r="AD66" i="1"/>
  <c r="AL66" i="1"/>
  <c r="AN66" i="1"/>
  <c r="AI66" i="1"/>
  <c r="AG66" i="1"/>
  <c r="AC66" i="1"/>
  <c r="AK66" i="1"/>
  <c r="AO66" i="1"/>
  <c r="AH66" i="1"/>
  <c r="AR66" i="1"/>
  <c r="AB66" i="1"/>
  <c r="AM66" i="1"/>
  <c r="AE66" i="1"/>
  <c r="AI65" i="1" l="1"/>
  <c r="AJ65" i="1" s="1"/>
  <c r="AN64" i="1"/>
  <c r="AQ64" i="1" s="1"/>
  <c r="AR64" i="1" s="1"/>
  <c r="AP65" i="1" s="1"/>
  <c r="AM65" i="1"/>
  <c r="AF67" i="1"/>
  <c r="AQ67" i="1"/>
  <c r="AJ67" i="1"/>
  <c r="AD67" i="1"/>
  <c r="AC67" i="1"/>
  <c r="AR67" i="1"/>
  <c r="AI67" i="1"/>
  <c r="AG67" i="1"/>
  <c r="AO67" i="1"/>
  <c r="AK67" i="1"/>
  <c r="AE67" i="1"/>
  <c r="AP67" i="1"/>
  <c r="AL67" i="1"/>
  <c r="AN67" i="1"/>
  <c r="AB67" i="1"/>
  <c r="AM67" i="1"/>
  <c r="AH67" i="1"/>
  <c r="AN65" i="1" l="1"/>
  <c r="AQ65" i="1" s="1"/>
  <c r="AR65" i="1" s="1"/>
  <c r="J25" i="1" s="1" a="1"/>
  <c r="J25" i="1" s="1"/>
  <c r="J26" i="1" s="1"/>
  <c r="BL44" i="1" s="1"/>
  <c r="AF68" i="1"/>
  <c r="AQ68" i="1"/>
  <c r="AM68" i="1"/>
  <c r="AL68" i="1"/>
  <c r="AC68" i="1"/>
  <c r="AN68" i="1"/>
  <c r="AK68" i="1"/>
  <c r="AB68" i="1"/>
  <c r="AE68" i="1"/>
  <c r="AI68" i="1"/>
  <c r="AO68" i="1"/>
  <c r="AD68" i="1"/>
  <c r="AR68" i="1"/>
  <c r="AH68" i="1"/>
  <c r="AJ68" i="1"/>
  <c r="AG68" i="1"/>
  <c r="AP68" i="1"/>
  <c r="BL4" i="1" l="1"/>
  <c r="DB17" i="1"/>
  <c r="AJ69" i="1"/>
  <c r="AB69" i="1"/>
  <c r="AO69" i="1"/>
  <c r="AF69" i="1"/>
  <c r="AN69" i="1"/>
  <c r="AI69" i="1"/>
  <c r="AG69" i="1"/>
  <c r="AE69" i="1"/>
  <c r="AQ69" i="1"/>
  <c r="AM69" i="1"/>
  <c r="AD69" i="1"/>
  <c r="AC69" i="1"/>
  <c r="AP69" i="1"/>
  <c r="AR69" i="1"/>
  <c r="AK69" i="1"/>
  <c r="AL69" i="1"/>
  <c r="AH69" i="1"/>
  <c r="AP70" i="1" l="1"/>
  <c r="AF70" i="1"/>
  <c r="AR70" i="1"/>
  <c r="AI70" i="1"/>
  <c r="AH70" i="1"/>
  <c r="AE70" i="1"/>
  <c r="AQ70" i="1"/>
  <c r="AM70" i="1"/>
  <c r="AB70" i="1"/>
  <c r="AO70" i="1"/>
  <c r="AJ70" i="1"/>
  <c r="AG70" i="1"/>
  <c r="AK70" i="1"/>
  <c r="AC70" i="1"/>
  <c r="AD70" i="1"/>
  <c r="AN70" i="1"/>
  <c r="AL70" i="1"/>
  <c r="AJ71" i="1" l="1"/>
  <c r="AG71" i="1"/>
  <c r="AC71" i="1"/>
  <c r="AN71" i="1"/>
  <c r="AI71" i="1"/>
  <c r="AH71" i="1"/>
  <c r="AE71" i="1"/>
  <c r="AQ71" i="1"/>
  <c r="AM71" i="1"/>
  <c r="AD71" i="1"/>
  <c r="AB71" i="1"/>
  <c r="AF71" i="1"/>
  <c r="AR71" i="1"/>
  <c r="AK71" i="1"/>
  <c r="AL71" i="1"/>
  <c r="AO71" i="1"/>
  <c r="AP71" i="1"/>
  <c r="AF72" i="1" l="1"/>
  <c r="AM72" i="1"/>
  <c r="AL72" i="1"/>
  <c r="AG72" i="1"/>
  <c r="AP72" i="1"/>
  <c r="AN72" i="1"/>
  <c r="AK72" i="1"/>
  <c r="AC72" i="1"/>
  <c r="AE72" i="1"/>
  <c r="AQ72" i="1"/>
  <c r="AJ72" i="1"/>
  <c r="AD72" i="1"/>
  <c r="AH72" i="1"/>
  <c r="AR72" i="1"/>
  <c r="AI72" i="1"/>
  <c r="AB72" i="1"/>
  <c r="AO72" i="1"/>
  <c r="AP73" i="1" l="1"/>
  <c r="AF73" i="1"/>
  <c r="AN73" i="1"/>
  <c r="AK73" i="1"/>
  <c r="AC73" i="1"/>
  <c r="AO73" i="1"/>
  <c r="AQ73" i="1"/>
  <c r="AD73" i="1"/>
  <c r="AE73" i="1"/>
  <c r="AR73" i="1"/>
  <c r="AI73" i="1"/>
  <c r="AL73" i="1"/>
  <c r="AJ73" i="1"/>
  <c r="AM73" i="1"/>
  <c r="AG73" i="1"/>
  <c r="AB73" i="1"/>
  <c r="AH73" i="1"/>
  <c r="AF74" i="1" l="1"/>
  <c r="AQ74" i="1"/>
  <c r="AJ74" i="1"/>
  <c r="AR74" i="1"/>
  <c r="AI74" i="1"/>
  <c r="AK74" i="1"/>
  <c r="AL74" i="1"/>
  <c r="AC74" i="1"/>
  <c r="AD74" i="1"/>
  <c r="AG74" i="1"/>
  <c r="AP74" i="1"/>
  <c r="AN74" i="1"/>
  <c r="AH74" i="1"/>
  <c r="AE74" i="1"/>
  <c r="AM74" i="1"/>
  <c r="AB74" i="1"/>
  <c r="AO74" i="1"/>
  <c r="AF75" i="1" l="1"/>
  <c r="AR75" i="1"/>
  <c r="AI75" i="1"/>
  <c r="AL75" i="1"/>
  <c r="AB75" i="1"/>
  <c r="AQ75" i="1"/>
  <c r="AM75" i="1"/>
  <c r="AO75" i="1"/>
  <c r="AC75" i="1"/>
  <c r="AN75" i="1"/>
  <c r="AJ75" i="1"/>
  <c r="AD75" i="1"/>
  <c r="AH75" i="1"/>
  <c r="AE75" i="1"/>
  <c r="AK75" i="1"/>
  <c r="AG75" i="1"/>
  <c r="AP75" i="1"/>
  <c r="AF76" i="1" l="1"/>
  <c r="AP76" i="1"/>
  <c r="AQ76" i="1"/>
  <c r="AM76" i="1"/>
  <c r="AD76" i="1"/>
  <c r="AO76" i="1"/>
  <c r="AR76" i="1"/>
  <c r="AK76" i="1"/>
  <c r="AL76" i="1"/>
  <c r="AC76" i="1"/>
  <c r="AI76" i="1"/>
  <c r="AE76" i="1"/>
  <c r="AG76" i="1"/>
  <c r="AN76" i="1"/>
  <c r="AH76" i="1"/>
  <c r="AJ76" i="1"/>
  <c r="AB76" i="1"/>
  <c r="AF77" i="1" l="1"/>
  <c r="AR77" i="1"/>
  <c r="AI77" i="1"/>
  <c r="AG77" i="1"/>
  <c r="AC77" i="1"/>
  <c r="AM77" i="1"/>
  <c r="AH77" i="1"/>
  <c r="AB77" i="1"/>
  <c r="AQ77" i="1"/>
  <c r="AJ77" i="1"/>
  <c r="AD77" i="1"/>
  <c r="AO77" i="1"/>
  <c r="AN77" i="1"/>
  <c r="AE77" i="1"/>
  <c r="AK77" i="1"/>
  <c r="AL77" i="1"/>
  <c r="AP77" i="1"/>
  <c r="AF78" i="1" l="1"/>
  <c r="AR78" i="1"/>
  <c r="AK78" i="1"/>
  <c r="AG78" i="1"/>
  <c r="AC78" i="1"/>
  <c r="AJ78" i="1"/>
  <c r="AH78" i="1"/>
  <c r="AB78" i="1"/>
  <c r="AP78" i="1"/>
  <c r="AQ78" i="1"/>
  <c r="AM78" i="1"/>
  <c r="AD78" i="1"/>
  <c r="AL78" i="1"/>
  <c r="AO78" i="1"/>
  <c r="AN78" i="1"/>
  <c r="AI78" i="1"/>
  <c r="AE78" i="1"/>
  <c r="AF79" i="1" l="1"/>
  <c r="AP79" i="1"/>
  <c r="AR79" i="1"/>
  <c r="AI79" i="1"/>
  <c r="AG79" i="1"/>
  <c r="AL79" i="1"/>
  <c r="AN79" i="1"/>
  <c r="AD79" i="1"/>
  <c r="AB79" i="1"/>
  <c r="AJ79" i="1"/>
  <c r="AC79" i="1"/>
  <c r="AO79" i="1"/>
  <c r="AM79" i="1"/>
  <c r="AH79" i="1"/>
  <c r="AQ79" i="1"/>
  <c r="AK79" i="1"/>
  <c r="AE79" i="1"/>
  <c r="AF80" i="1" l="1"/>
  <c r="AJ80" i="1"/>
  <c r="AN80" i="1"/>
  <c r="AI80" i="1"/>
  <c r="AK80" i="1"/>
  <c r="AB80" i="1"/>
  <c r="AG80" i="1"/>
  <c r="AQ80" i="1"/>
  <c r="AD80" i="1"/>
  <c r="AO80" i="1"/>
  <c r="AR80" i="1"/>
  <c r="AH80" i="1"/>
  <c r="AC80" i="1"/>
  <c r="AM80" i="1"/>
  <c r="AL80" i="1"/>
  <c r="AE80" i="1"/>
  <c r="AP80" i="1"/>
  <c r="AP81" i="1" l="1"/>
  <c r="AF81" i="1"/>
  <c r="AN81" i="1"/>
  <c r="AK81" i="1"/>
  <c r="AH81" i="1"/>
  <c r="AC81" i="1"/>
  <c r="AQ81" i="1"/>
  <c r="AD81" i="1"/>
  <c r="AE81" i="1"/>
  <c r="AJ81" i="1"/>
  <c r="AM81" i="1"/>
  <c r="AB81" i="1"/>
  <c r="AL81" i="1"/>
  <c r="AI81" i="1"/>
  <c r="AG81" i="1"/>
  <c r="AO81" i="1"/>
  <c r="AR81" i="1"/>
  <c r="AF82" i="1" l="1"/>
  <c r="AP82" i="1"/>
  <c r="AN82" i="1"/>
  <c r="AK82" i="1"/>
  <c r="AO82" i="1"/>
  <c r="AE82" i="1"/>
  <c r="AJ82" i="1"/>
  <c r="AD82" i="1"/>
  <c r="AH82" i="1"/>
  <c r="AR82" i="1"/>
  <c r="AI82" i="1"/>
  <c r="AB82" i="1"/>
  <c r="AC82" i="1"/>
  <c r="AQ82" i="1"/>
  <c r="AM82" i="1"/>
  <c r="AG82" i="1"/>
  <c r="AL82" i="1"/>
  <c r="AF83" i="1" l="1"/>
  <c r="AJ83" i="1"/>
  <c r="AD83" i="1"/>
  <c r="AO83" i="1"/>
  <c r="AR83" i="1"/>
  <c r="AI83" i="1"/>
  <c r="AH83" i="1"/>
  <c r="AE83" i="1"/>
  <c r="AK83" i="1"/>
  <c r="AC83" i="1"/>
  <c r="AQ83" i="1"/>
  <c r="AB83" i="1"/>
  <c r="AN83" i="1"/>
  <c r="AL83" i="1"/>
  <c r="AM83" i="1"/>
  <c r="AG83" i="1"/>
  <c r="AP83" i="1"/>
  <c r="AF84" i="1" l="1"/>
  <c r="AP84" i="1"/>
  <c r="AN84" i="1"/>
  <c r="AK84" i="1"/>
  <c r="AL84" i="1"/>
  <c r="AE84" i="1"/>
  <c r="AJ84" i="1"/>
  <c r="AD84" i="1"/>
  <c r="AG84" i="1"/>
  <c r="AQ84" i="1"/>
  <c r="AM84" i="1"/>
  <c r="AH84" i="1"/>
  <c r="AC84" i="1"/>
  <c r="AI84" i="1"/>
  <c r="AB84" i="1"/>
  <c r="AO84" i="1"/>
  <c r="AR84" i="1"/>
  <c r="AF85" i="1" l="1"/>
  <c r="AN85" i="1"/>
  <c r="AI85" i="1"/>
  <c r="AH85" i="1"/>
  <c r="AO85" i="1"/>
  <c r="AM85" i="1"/>
  <c r="AB85" i="1"/>
  <c r="AG85" i="1"/>
  <c r="AQ85" i="1"/>
  <c r="AJ85" i="1"/>
  <c r="AD85" i="1"/>
  <c r="AE85" i="1"/>
  <c r="AC85" i="1"/>
  <c r="AR85" i="1"/>
  <c r="AK85" i="1"/>
  <c r="AL85" i="1"/>
  <c r="AP85" i="1"/>
  <c r="AJ86" i="1" l="1"/>
  <c r="AM86" i="1"/>
  <c r="AC86" i="1"/>
  <c r="AE86" i="1"/>
  <c r="AN86" i="1"/>
  <c r="AK86" i="1"/>
  <c r="AH86" i="1"/>
  <c r="AG86" i="1"/>
  <c r="AF86" i="1"/>
  <c r="AI86" i="1"/>
  <c r="AO86" i="1"/>
  <c r="AD86" i="1"/>
  <c r="AP86" i="1"/>
  <c r="AR86" i="1"/>
  <c r="AB86" i="1"/>
  <c r="AQ86" i="1"/>
  <c r="AL86" i="1"/>
  <c r="AQ87" i="1" l="1"/>
  <c r="AM87" i="1"/>
  <c r="AO87" i="1"/>
  <c r="AC87" i="1"/>
  <c r="AN87" i="1"/>
  <c r="AK87" i="1"/>
  <c r="AH87" i="1"/>
  <c r="AE87" i="1"/>
  <c r="AJ87" i="1"/>
  <c r="AD87" i="1"/>
  <c r="AB87" i="1"/>
  <c r="AF87" i="1"/>
  <c r="AR87" i="1"/>
  <c r="AI87" i="1"/>
  <c r="AL87" i="1"/>
  <c r="AG87" i="1"/>
  <c r="AP87" i="1"/>
  <c r="AF88" i="1" l="1"/>
  <c r="AP88" i="1"/>
  <c r="AN88" i="1"/>
  <c r="AK88" i="1"/>
  <c r="AB88" i="1"/>
  <c r="AO88" i="1"/>
  <c r="AJ88" i="1"/>
  <c r="AD88" i="1"/>
  <c r="AL88" i="1"/>
  <c r="AQ88" i="1"/>
  <c r="AM88" i="1"/>
  <c r="AG88" i="1"/>
  <c r="AE88" i="1"/>
  <c r="AI88" i="1"/>
  <c r="AH88" i="1"/>
  <c r="AC88" i="1"/>
  <c r="AR88" i="1"/>
  <c r="AF89" i="1" l="1"/>
  <c r="AJ89" i="1"/>
  <c r="AD89" i="1"/>
  <c r="AC89" i="1"/>
  <c r="AR89" i="1"/>
  <c r="AN89" i="1"/>
  <c r="AG89" i="1"/>
  <c r="AE89" i="1"/>
  <c r="AI89" i="1"/>
  <c r="AO89" i="1"/>
  <c r="AM89" i="1"/>
  <c r="AL89" i="1"/>
  <c r="AP89" i="1"/>
  <c r="AK89" i="1"/>
  <c r="AH89" i="1"/>
  <c r="AQ89" i="1"/>
  <c r="AB89" i="1"/>
  <c r="AF90" i="1" l="1"/>
  <c r="AP90" i="1"/>
  <c r="AJ90" i="1"/>
  <c r="AD90" i="1"/>
  <c r="AE90" i="1"/>
  <c r="AR90" i="1"/>
  <c r="AI90" i="1"/>
  <c r="AB90" i="1"/>
  <c r="AO90" i="1"/>
  <c r="AK90" i="1"/>
  <c r="AC90" i="1"/>
  <c r="AQ90" i="1"/>
  <c r="AG90" i="1"/>
  <c r="AN90" i="1"/>
  <c r="AH90" i="1"/>
  <c r="AM90" i="1"/>
  <c r="AL90" i="1"/>
  <c r="AF91" i="1" l="1"/>
  <c r="AP91" i="1"/>
  <c r="AJ91" i="1"/>
  <c r="AD91" i="1"/>
  <c r="AO91" i="1"/>
  <c r="AR91" i="1"/>
  <c r="AI91" i="1"/>
  <c r="AL91" i="1"/>
  <c r="AC91" i="1"/>
  <c r="AK91" i="1"/>
  <c r="AE91" i="1"/>
  <c r="AQ91" i="1"/>
  <c r="AB91" i="1"/>
  <c r="AN91" i="1"/>
  <c r="AG91" i="1"/>
  <c r="AM91" i="1"/>
  <c r="AH91" i="1"/>
  <c r="AF92" i="1" l="1"/>
  <c r="AQ92" i="1"/>
  <c r="AM92" i="1"/>
  <c r="AG92" i="1"/>
  <c r="AO92" i="1"/>
  <c r="AN92" i="1"/>
  <c r="AK92" i="1"/>
  <c r="AB92" i="1"/>
  <c r="AE92" i="1"/>
  <c r="AJ92" i="1"/>
  <c r="AD92" i="1"/>
  <c r="AC92" i="1"/>
  <c r="AR92" i="1"/>
  <c r="AI92" i="1"/>
  <c r="AL92" i="1"/>
  <c r="AH92" i="1"/>
  <c r="AP92" i="1"/>
  <c r="AQ93" i="1" l="1"/>
  <c r="AK93" i="1"/>
  <c r="AG93" i="1"/>
  <c r="AB93" i="1"/>
  <c r="AF93" i="1"/>
  <c r="AR93" i="1"/>
  <c r="AJ93" i="1"/>
  <c r="AH93" i="1"/>
  <c r="AE93" i="1"/>
  <c r="AP93" i="1"/>
  <c r="AL93" i="1"/>
  <c r="AC93" i="1"/>
  <c r="AM93" i="1"/>
  <c r="AI93" i="1"/>
  <c r="AN93" i="1"/>
  <c r="AD93" i="1"/>
  <c r="AO93" i="1"/>
  <c r="AQ94" i="1" l="1"/>
  <c r="AK94" i="1"/>
  <c r="AG94" i="1"/>
  <c r="AE94" i="1"/>
  <c r="AR94" i="1"/>
  <c r="AJ94" i="1"/>
  <c r="AB94" i="1"/>
  <c r="AH94" i="1"/>
  <c r="AF94" i="1"/>
  <c r="AL94" i="1"/>
  <c r="AC94" i="1"/>
  <c r="AM94" i="1"/>
  <c r="AI94" i="1"/>
  <c r="AN94" i="1"/>
  <c r="AD94" i="1"/>
  <c r="AP94" i="1"/>
  <c r="AO94" i="1"/>
  <c r="AF95" i="1" l="1"/>
  <c r="AM95" i="1"/>
  <c r="AJ95" i="1"/>
  <c r="AD95" i="1"/>
  <c r="AE95" i="1"/>
  <c r="AN95" i="1"/>
  <c r="AI95" i="1"/>
  <c r="AB95" i="1"/>
  <c r="AO95" i="1"/>
  <c r="AQ95" i="1"/>
  <c r="AK95" i="1"/>
  <c r="AH95" i="1"/>
  <c r="AC95" i="1"/>
  <c r="AP95" i="1"/>
  <c r="AR95" i="1"/>
  <c r="AL95" i="1"/>
  <c r="AG95" i="1"/>
  <c r="AF96" i="1" l="1"/>
  <c r="AP96" i="1"/>
  <c r="AR96" i="1"/>
  <c r="AD96" i="1"/>
  <c r="AN96" i="1"/>
  <c r="AJ96" i="1"/>
  <c r="AH96" i="1"/>
  <c r="AQ96" i="1"/>
  <c r="AI96" i="1"/>
  <c r="AC96" i="1"/>
  <c r="AL96" i="1"/>
  <c r="AB96" i="1"/>
  <c r="AG96" i="1"/>
  <c r="AM96" i="1"/>
  <c r="AK96" i="1"/>
  <c r="AO96" i="1"/>
  <c r="AE96" i="1"/>
  <c r="AF97" i="1" l="1"/>
  <c r="AJ97" i="1"/>
  <c r="AO97" i="1"/>
  <c r="AB97" i="1"/>
  <c r="AN97" i="1"/>
  <c r="AM97" i="1"/>
  <c r="AI97" i="1"/>
  <c r="AC97" i="1"/>
  <c r="AQ97" i="1"/>
  <c r="AL97" i="1"/>
  <c r="AD97" i="1"/>
  <c r="AH97" i="1"/>
  <c r="AP97" i="1"/>
  <c r="AR97" i="1"/>
  <c r="AK97" i="1"/>
  <c r="AG97" i="1"/>
  <c r="AE97" i="1"/>
  <c r="AF98" i="1" l="1"/>
  <c r="AP98" i="1"/>
  <c r="AM98" i="1"/>
  <c r="AI98" i="1"/>
  <c r="AH98" i="1"/>
  <c r="AN98" i="1"/>
  <c r="AL98" i="1"/>
  <c r="AD98" i="1"/>
  <c r="AG98" i="1"/>
  <c r="AJ98" i="1"/>
  <c r="AE98" i="1"/>
  <c r="AQ98" i="1"/>
  <c r="AB98" i="1"/>
  <c r="AR98" i="1"/>
  <c r="AO98" i="1"/>
  <c r="AK98" i="1"/>
  <c r="AC98" i="1"/>
  <c r="AR99" i="1" l="1"/>
  <c r="AJ99" i="1"/>
  <c r="AB99" i="1"/>
  <c r="AG99" i="1"/>
  <c r="AI99" i="1"/>
  <c r="AO99" i="1"/>
  <c r="AE99" i="1"/>
  <c r="AN99" i="1"/>
  <c r="AM99" i="1"/>
  <c r="AK99" i="1"/>
  <c r="AH99" i="1"/>
  <c r="AF99" i="1"/>
  <c r="AQ99" i="1"/>
  <c r="AL99" i="1"/>
  <c r="AD99" i="1"/>
  <c r="AC99" i="1"/>
  <c r="AP99" i="1"/>
  <c r="AF100" i="1" l="1"/>
  <c r="AP100" i="1"/>
  <c r="AM100" i="1"/>
  <c r="AI100" i="1"/>
  <c r="AC100" i="1"/>
  <c r="AN100" i="1"/>
  <c r="AL100" i="1"/>
  <c r="AD100" i="1"/>
  <c r="AH100" i="1"/>
  <c r="AQ100" i="1"/>
  <c r="AK100" i="1"/>
  <c r="AB100" i="1"/>
  <c r="AG100" i="1"/>
  <c r="AR100" i="1"/>
  <c r="AJ100" i="1"/>
  <c r="AE100" i="1"/>
  <c r="AO100" i="1"/>
  <c r="AD101" i="1" l="1"/>
  <c r="AB101" i="1"/>
  <c r="AI101" i="1"/>
  <c r="AO101" i="1"/>
  <c r="AC101" i="1"/>
  <c r="AL101" i="1"/>
  <c r="AK101" i="1"/>
  <c r="AQ101" i="1"/>
  <c r="AR101" i="1"/>
  <c r="AP101" i="1"/>
  <c r="AM101" i="1"/>
  <c r="AH101" i="1"/>
  <c r="AG101" i="1"/>
  <c r="AF101" i="1"/>
  <c r="AE101" i="1"/>
  <c r="AN101" i="1"/>
  <c r="AJ101" i="1"/>
  <c r="AJ102" i="1" l="1"/>
  <c r="AN102" i="1"/>
  <c r="AB102" i="1"/>
  <c r="AP102" i="1"/>
  <c r="AO102" i="1"/>
  <c r="AE102" i="1"/>
  <c r="AG102" i="1"/>
  <c r="AI102" i="1"/>
  <c r="AH102" i="1"/>
  <c r="AK102" i="1"/>
  <c r="AM102" i="1"/>
  <c r="AQ102" i="1"/>
  <c r="AC102" i="1"/>
  <c r="AL102" i="1"/>
  <c r="AR102" i="1"/>
  <c r="AD102" i="1"/>
  <c r="AF102" i="1"/>
  <c r="AD103" i="1" l="1"/>
  <c r="AP103" i="1"/>
  <c r="AF103" i="1"/>
  <c r="AQ103" i="1"/>
  <c r="AC103" i="1"/>
  <c r="AJ103" i="1"/>
  <c r="AR103" i="1"/>
  <c r="AN103" i="1"/>
  <c r="AK103" i="1"/>
  <c r="AI103" i="1"/>
  <c r="AE103" i="1"/>
  <c r="AB103" i="1"/>
  <c r="AH103" i="1"/>
  <c r="AM103" i="1"/>
  <c r="AG103" i="1"/>
  <c r="AL103" i="1"/>
  <c r="AO103" i="1"/>
  <c r="AO104" i="1" l="1"/>
  <c r="AC104" i="1"/>
  <c r="AJ104" i="1"/>
  <c r="AP104" i="1"/>
  <c r="AL104" i="1"/>
  <c r="AK104" i="1"/>
  <c r="AE104" i="1"/>
  <c r="AD104" i="1"/>
  <c r="AH104" i="1"/>
  <c r="AB104" i="1"/>
  <c r="AQ104" i="1"/>
  <c r="AF104" i="1"/>
  <c r="AI104" i="1"/>
  <c r="AG104" i="1"/>
  <c r="AR104" i="1"/>
  <c r="AN104" i="1"/>
  <c r="AM104" i="1"/>
  <c r="AF105" i="1" l="1"/>
  <c r="AR105" i="1"/>
  <c r="AM105" i="1"/>
  <c r="AE105" i="1"/>
  <c r="AN105" i="1"/>
  <c r="AD105" i="1"/>
  <c r="AC105" i="1"/>
  <c r="AH105" i="1"/>
  <c r="AL105" i="1"/>
  <c r="AI105" i="1"/>
  <c r="AQ105" i="1"/>
  <c r="AB105" i="1"/>
  <c r="AO105" i="1"/>
  <c r="AP105" i="1"/>
  <c r="AG105" i="1"/>
  <c r="AK105" i="1"/>
  <c r="AJ105" i="1"/>
  <c r="AP106" i="1" l="1"/>
  <c r="AH106" i="1"/>
  <c r="AG106" i="1"/>
  <c r="AQ106" i="1"/>
  <c r="AR106" i="1"/>
  <c r="AB106" i="1"/>
  <c r="AC106" i="1"/>
  <c r="AE106" i="1"/>
  <c r="AD106" i="1"/>
  <c r="AF106" i="1"/>
  <c r="AJ106" i="1"/>
  <c r="AK106" i="1"/>
  <c r="AI106" i="1"/>
  <c r="AN106" i="1"/>
  <c r="AO106" i="1"/>
  <c r="AM106" i="1"/>
  <c r="AL10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Ravi Shukla</author>
    <author>Aarjav Jain</author>
  </authors>
  <commentList>
    <comment ref="B9" authorId="0" shapeId="0" xr:uid="{E22A1FD5-0F28-F144-9FD0-10C2CB58359A}">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Current Age&gt;20</t>
        </r>
      </text>
    </comment>
    <comment ref="FB9" authorId="0" shapeId="0" xr:uid="{F4A7A7B6-6B66-4D3C-AC78-802865F354A8}">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Current Age&gt;20</t>
        </r>
      </text>
    </comment>
    <comment ref="GB9" authorId="0" shapeId="0" xr:uid="{2D3EF1CE-E84A-40DB-9E0D-6DC86E38EA72}">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Current Age&gt;20</t>
        </r>
      </text>
    </comment>
    <comment ref="DB10" authorId="0" shapeId="0" xr:uid="{EC4A56CB-865F-8C41-BBA8-A2ADA1E77064}">
      <text>
        <r>
          <rPr>
            <b/>
            <sz val="10"/>
            <color rgb="FF000000"/>
            <rFont val="Tahoma"/>
            <family val="2"/>
          </rPr>
          <t>Microsoft Office User:</t>
        </r>
        <r>
          <rPr>
            <sz val="10"/>
            <color rgb="FF000000"/>
            <rFont val="Tahoma"/>
            <family val="2"/>
          </rPr>
          <t xml:space="preserve">
</t>
        </r>
        <r>
          <rPr>
            <sz val="10"/>
            <color rgb="FF000000"/>
            <rFont val="Tahoma"/>
            <family val="2"/>
          </rPr>
          <t>Here Max Planning Horizon is 1 less than the expected becuase of the formulas i have used</t>
        </r>
      </text>
    </comment>
    <comment ref="B15" authorId="0" shapeId="0" xr:uid="{FE6D13BC-E8C7-7543-B5A4-3461AF55E87A}">
      <text>
        <r>
          <rPr>
            <b/>
            <sz val="10"/>
            <color rgb="FF000000"/>
            <rFont val="Tahoma"/>
            <family val="2"/>
          </rPr>
          <t>Microsoft Office User:</t>
        </r>
        <r>
          <rPr>
            <sz val="10"/>
            <color rgb="FF000000"/>
            <rFont val="Tahoma"/>
            <family val="2"/>
          </rPr>
          <t xml:space="preserve">
</t>
        </r>
        <r>
          <rPr>
            <sz val="10"/>
            <color rgb="FF000000"/>
            <rFont val="Tahoma"/>
            <family val="2"/>
          </rPr>
          <t>Data Validation between Current age and Anticipated lifespan</t>
        </r>
      </text>
    </comment>
    <comment ref="FB15" authorId="0" shapeId="0" xr:uid="{042FEF85-0FA3-4446-85F0-5D50F08B5EE6}">
      <text>
        <r>
          <rPr>
            <b/>
            <sz val="10"/>
            <color rgb="FF000000"/>
            <rFont val="Tahoma"/>
            <family val="2"/>
          </rPr>
          <t>Microsoft Office User:</t>
        </r>
        <r>
          <rPr>
            <sz val="10"/>
            <color rgb="FF000000"/>
            <rFont val="Tahoma"/>
            <family val="2"/>
          </rPr>
          <t xml:space="preserve">
</t>
        </r>
        <r>
          <rPr>
            <sz val="10"/>
            <color rgb="FF000000"/>
            <rFont val="Tahoma"/>
            <family val="2"/>
          </rPr>
          <t>Data Validation between Current age and Anticipated lifespan</t>
        </r>
      </text>
    </comment>
    <comment ref="GB15" authorId="0" shapeId="0" xr:uid="{08FFAA23-743B-4B10-9345-535E6823AF01}">
      <text>
        <r>
          <rPr>
            <b/>
            <sz val="10"/>
            <color rgb="FF000000"/>
            <rFont val="Tahoma"/>
            <family val="2"/>
          </rPr>
          <t>Microsoft Office User:</t>
        </r>
        <r>
          <rPr>
            <sz val="10"/>
            <color rgb="FF000000"/>
            <rFont val="Tahoma"/>
            <family val="2"/>
          </rPr>
          <t xml:space="preserve">
</t>
        </r>
        <r>
          <rPr>
            <sz val="10"/>
            <color rgb="FF000000"/>
            <rFont val="Tahoma"/>
            <family val="2"/>
          </rPr>
          <t>Data Validation between Current age and Anticipated lifespan</t>
        </r>
      </text>
    </comment>
    <comment ref="B16" authorId="0" shapeId="0" xr:uid="{9485B5C2-695D-6742-A8FC-B6981141AC6B}">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Age to be between current age and &lt;= 120</t>
        </r>
      </text>
    </comment>
    <comment ref="FB16" authorId="0" shapeId="0" xr:uid="{3201F74B-43F4-40DA-9D52-7A102317084A}">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Age to be between current age and &lt;= 120</t>
        </r>
      </text>
    </comment>
    <comment ref="GB16" authorId="0" shapeId="0" xr:uid="{83A2DF99-B819-4005-9439-47710639BF8D}">
      <text>
        <r>
          <rPr>
            <b/>
            <sz val="10"/>
            <color rgb="FF000000"/>
            <rFont val="Tahoma"/>
            <family val="2"/>
          </rPr>
          <t>Microsoft Office User:</t>
        </r>
        <r>
          <rPr>
            <sz val="10"/>
            <color rgb="FF000000"/>
            <rFont val="Tahoma"/>
            <family val="2"/>
          </rPr>
          <t xml:space="preserve">
</t>
        </r>
        <r>
          <rPr>
            <sz val="10"/>
            <color rgb="FF000000"/>
            <rFont val="Tahoma"/>
            <family val="2"/>
          </rPr>
          <t xml:space="preserve">Data Validation Applied,
</t>
        </r>
        <r>
          <rPr>
            <sz val="10"/>
            <color rgb="FF000000"/>
            <rFont val="Tahoma"/>
            <family val="2"/>
          </rPr>
          <t>Age to be between current age and &lt;= 120</t>
        </r>
      </text>
    </comment>
    <comment ref="A17" authorId="1" shapeId="0" xr:uid="{00000000-0006-0000-0000-000002000000}">
      <text>
        <r>
          <rPr>
            <sz val="9"/>
            <color rgb="FF000000"/>
            <rFont val="Tahoma"/>
            <family val="2"/>
          </rPr>
          <t xml:space="preserve">As % of </t>
        </r>
        <r>
          <rPr>
            <i/>
            <sz val="9"/>
            <color rgb="FF000000"/>
            <rFont val="Tahoma"/>
            <family val="2"/>
          </rPr>
          <t>theoretical full-time salary</t>
        </r>
        <r>
          <rPr>
            <sz val="9"/>
            <color rgb="FF000000"/>
            <rFont val="Tahoma"/>
            <family val="2"/>
          </rPr>
          <t>.</t>
        </r>
      </text>
    </comment>
    <comment ref="FA17" authorId="1" shapeId="0" xr:uid="{19883533-D605-49D0-8B25-3EE04FB0613C}">
      <text>
        <r>
          <rPr>
            <sz val="9"/>
            <color rgb="FF000000"/>
            <rFont val="Tahoma"/>
            <family val="2"/>
          </rPr>
          <t xml:space="preserve">As % of </t>
        </r>
        <r>
          <rPr>
            <i/>
            <sz val="9"/>
            <color rgb="FF000000"/>
            <rFont val="Tahoma"/>
            <family val="2"/>
          </rPr>
          <t>theoretical full-time salary</t>
        </r>
        <r>
          <rPr>
            <sz val="9"/>
            <color rgb="FF000000"/>
            <rFont val="Tahoma"/>
            <family val="2"/>
          </rPr>
          <t>.</t>
        </r>
      </text>
    </comment>
    <comment ref="GA17" authorId="1" shapeId="0" xr:uid="{D76C8771-F220-4DD6-8C6F-FB680B4EB027}">
      <text>
        <r>
          <rPr>
            <sz val="9"/>
            <color rgb="FF000000"/>
            <rFont val="Tahoma"/>
            <family val="2"/>
          </rPr>
          <t xml:space="preserve">As % of </t>
        </r>
        <r>
          <rPr>
            <i/>
            <sz val="9"/>
            <color rgb="FF000000"/>
            <rFont val="Tahoma"/>
            <family val="2"/>
          </rPr>
          <t>theoretical full-time salary</t>
        </r>
        <r>
          <rPr>
            <sz val="9"/>
            <color rgb="FF000000"/>
            <rFont val="Tahoma"/>
            <family val="2"/>
          </rPr>
          <t>.</t>
        </r>
      </text>
    </comment>
    <comment ref="A23" authorId="1" shapeId="0" xr:uid="{00000000-0006-0000-0000-000003000000}">
      <text>
        <r>
          <rPr>
            <sz val="9"/>
            <color rgb="FF000000"/>
            <rFont val="Tahoma"/>
            <family val="2"/>
          </rPr>
          <t xml:space="preserve">As % of </t>
        </r>
        <r>
          <rPr>
            <i/>
            <sz val="9"/>
            <color rgb="FF000000"/>
            <rFont val="Tahoma"/>
            <family val="2"/>
          </rPr>
          <t>theoretical full-time salary</t>
        </r>
        <r>
          <rPr>
            <sz val="9"/>
            <color rgb="FF000000"/>
            <rFont val="Tahoma"/>
            <family val="2"/>
          </rPr>
          <t xml:space="preserve">. </t>
        </r>
      </text>
    </comment>
    <comment ref="FA23" authorId="1" shapeId="0" xr:uid="{95928FF4-0D06-46A1-A82E-093FBFEE5E4D}">
      <text>
        <r>
          <rPr>
            <sz val="9"/>
            <color rgb="FF000000"/>
            <rFont val="Tahoma"/>
            <family val="2"/>
          </rPr>
          <t xml:space="preserve">As % of </t>
        </r>
        <r>
          <rPr>
            <i/>
            <sz val="9"/>
            <color rgb="FF000000"/>
            <rFont val="Tahoma"/>
            <family val="2"/>
          </rPr>
          <t>theoretical full-time salary</t>
        </r>
        <r>
          <rPr>
            <sz val="9"/>
            <color rgb="FF000000"/>
            <rFont val="Tahoma"/>
            <family val="2"/>
          </rPr>
          <t xml:space="preserve">. </t>
        </r>
      </text>
    </comment>
    <comment ref="GA23" authorId="1" shapeId="0" xr:uid="{FCB79AA1-5884-4134-8AED-7E28AE5581A6}">
      <text>
        <r>
          <rPr>
            <sz val="9"/>
            <color rgb="FF000000"/>
            <rFont val="Tahoma"/>
            <family val="2"/>
          </rPr>
          <t xml:space="preserve">As % of </t>
        </r>
        <r>
          <rPr>
            <i/>
            <sz val="9"/>
            <color rgb="FF000000"/>
            <rFont val="Tahoma"/>
            <family val="2"/>
          </rPr>
          <t>theoretical full-time salary</t>
        </r>
        <r>
          <rPr>
            <sz val="9"/>
            <color rgb="FF000000"/>
            <rFont val="Tahoma"/>
            <family val="2"/>
          </rPr>
          <t xml:space="preserve">. </t>
        </r>
      </text>
    </comment>
    <comment ref="J36" authorId="2" shapeId="0" xr:uid="{8D8D8403-3959-4D6D-8977-29DD357E0446}">
      <text>
        <r>
          <rPr>
            <b/>
            <sz val="9"/>
            <color indexed="81"/>
            <rFont val="Tahoma"/>
            <family val="2"/>
          </rPr>
          <t>Aarjav Jain:</t>
        </r>
        <r>
          <rPr>
            <sz val="9"/>
            <color indexed="81"/>
            <rFont val="Tahoma"/>
            <family val="2"/>
          </rPr>
          <t xml:space="preserve">
Innovation #8 implemented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<sst xmlns="http://schemas.openxmlformats.org/spreadsheetml/2006/main" count="227" uniqueCount="109">
  <si>
    <t>Basic Information about the Client</t>
  </si>
  <si>
    <t>Salutation</t>
  </si>
  <si>
    <t>Ms.</t>
  </si>
  <si>
    <t>Cathy</t>
  </si>
  <si>
    <t>Moran</t>
  </si>
  <si>
    <t>Address Line 1</t>
  </si>
  <si>
    <t>123 Oak Lane</t>
  </si>
  <si>
    <t>Address Line 2</t>
  </si>
  <si>
    <t>Yip, PA 12345</t>
  </si>
  <si>
    <t>Client Characteristics</t>
  </si>
  <si>
    <t>Cash</t>
  </si>
  <si>
    <t>Bonds</t>
  </si>
  <si>
    <t>Stocks</t>
  </si>
  <si>
    <t>Asset Allocations and Expected Returns</t>
  </si>
  <si>
    <t>Std Dev</t>
  </si>
  <si>
    <t>Exp Value</t>
  </si>
  <si>
    <t>Allocation</t>
  </si>
  <si>
    <t>Exp Ret</t>
  </si>
  <si>
    <t>Correlations</t>
  </si>
  <si>
    <t>Retirement Planning Inputs</t>
  </si>
  <si>
    <t>First Name</t>
  </si>
  <si>
    <t>Last Name</t>
  </si>
  <si>
    <t>Current Age</t>
  </si>
  <si>
    <t>Anticipated Lifespan</t>
  </si>
  <si>
    <t>Anticipated Retirement Age</t>
  </si>
  <si>
    <t>Current Salary</t>
  </si>
  <si>
    <t>Retirement Account Balance</t>
  </si>
  <si>
    <t>Theoretical Salary</t>
  </si>
  <si>
    <t>Cash Flows</t>
  </si>
  <si>
    <t>Retirement Account</t>
  </si>
  <si>
    <t>Age</t>
  </si>
  <si>
    <t>Salary Growth Rate</t>
  </si>
  <si>
    <t>Theoretical Salary - FT Job</t>
  </si>
  <si>
    <t>Inflation Adjusted Target Bequest</t>
  </si>
  <si>
    <t>Salary - FT Job</t>
  </si>
  <si>
    <t>Salary - PT Job</t>
  </si>
  <si>
    <t>Social Security Income</t>
  </si>
  <si>
    <t>Nursing Home Extra Cost</t>
  </si>
  <si>
    <t>To Retirement Account</t>
  </si>
  <si>
    <t>Account Balance with Return</t>
  </si>
  <si>
    <t xml:space="preserve">Addition </t>
  </si>
  <si>
    <t>Ending Account Balance</t>
  </si>
  <si>
    <t>Needed For Normal Living</t>
  </si>
  <si>
    <t>Total Inflow</t>
  </si>
  <si>
    <t>Total Outflow</t>
  </si>
  <si>
    <t>Portfolio Return (%)</t>
  </si>
  <si>
    <t>zSGR</t>
  </si>
  <si>
    <t>zInfl</t>
  </si>
  <si>
    <t>zPRet</t>
  </si>
  <si>
    <t>Inflation Rate</t>
  </si>
  <si>
    <t>Target Bequest (in Today's Dollars)</t>
  </si>
  <si>
    <t>Post-Retirement Annual Need for Living</t>
  </si>
  <si>
    <t>Minimum Social Security Income Start Age</t>
  </si>
  <si>
    <t>Number of Last Years in the Nursing Home</t>
  </si>
  <si>
    <t>Extra Cost for Nursing Home as % of Normal Living Cost</t>
  </si>
  <si>
    <t>Number of Years of Post-retirement Part-time Job</t>
  </si>
  <si>
    <t>Part-time Job Salary as % of Theoretical Full-time Salary</t>
  </si>
  <si>
    <t/>
  </si>
  <si>
    <t>Maximum Social Security Income Start Age</t>
  </si>
  <si>
    <t>Salary Growth and Inflation</t>
  </si>
  <si>
    <t>Savings Rate</t>
  </si>
  <si>
    <t>Scenario</t>
  </si>
  <si>
    <t>Actual Bequest</t>
  </si>
  <si>
    <t>Bequest Shortfall</t>
  </si>
  <si>
    <t>Work Area: Please do not make changes here unless you know what you are doing</t>
  </si>
  <si>
    <t>Constant</t>
  </si>
  <si>
    <t>Random-CAGR</t>
  </si>
  <si>
    <t>Random-Trials</t>
  </si>
  <si>
    <t>Scenarios</t>
  </si>
  <si>
    <t>Max Planning Horizon</t>
  </si>
  <si>
    <t>Portfolio</t>
  </si>
  <si>
    <t>When Social Security Income Start Age</t>
  </si>
  <si>
    <t>Savings Rate Orginal</t>
  </si>
  <si>
    <t>Saving Rate Required</t>
  </si>
  <si>
    <t>Calculate Required Saving Rate</t>
  </si>
  <si>
    <t>Monte Carlo Simulation</t>
  </si>
  <si>
    <t>Random Seed</t>
  </si>
  <si>
    <t>N of Trials to Run</t>
  </si>
  <si>
    <t>% Success (Actual &gt;= Target Request)</t>
  </si>
  <si>
    <t>Another Trial</t>
  </si>
  <si>
    <t>Run Trials</t>
  </si>
  <si>
    <t xml:space="preserve">Finished </t>
  </si>
  <si>
    <t>Random Seed Choice</t>
  </si>
  <si>
    <t>Random</t>
  </si>
  <si>
    <t>Random Number</t>
  </si>
  <si>
    <t>Mean</t>
  </si>
  <si>
    <t>Shortfall</t>
  </si>
  <si>
    <t>Req Saving Rate</t>
  </si>
  <si>
    <t>Required Saving Rate to Meet the Target</t>
  </si>
  <si>
    <t>Trial #</t>
  </si>
  <si>
    <t>Bequest Shortfall vs Savings Rate</t>
  </si>
  <si>
    <t>Shortfall vs Asset Allocation</t>
  </si>
  <si>
    <t>% Cash Allocation</t>
  </si>
  <si>
    <t>% Bond</t>
  </si>
  <si>
    <t>Navigation Buttons</t>
  </si>
  <si>
    <t>Average Required Savings Rate</t>
  </si>
  <si>
    <t>Navigation Button</t>
  </si>
  <si>
    <t>Finanical Planning</t>
  </si>
  <si>
    <t>User Settings</t>
  </si>
  <si>
    <t>Default Settings</t>
  </si>
  <si>
    <t>Risk Aversion Paramete (A)</t>
  </si>
  <si>
    <t>E(rP)</t>
  </si>
  <si>
    <t>σP</t>
  </si>
  <si>
    <t>Utility Score (U)</t>
  </si>
  <si>
    <t>Risk Aversion and Optimal Asset Allocation</t>
  </si>
  <si>
    <t>Sum of weights</t>
  </si>
  <si>
    <t>Whether borrowing and short selling is allowed</t>
  </si>
  <si>
    <t>Allowed</t>
  </si>
  <si>
    <t>Find the Optimal Asset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</si>
</sst>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
    <numFmt numFmtId="165" formatCode="0.0000"/>
    <numFmt numFmtId="166" formatCode="&quot;$&quot;#,##0.00"/>
    <numFmt numFmtId="167" formatCode="0.0%"/>
    <numFmt numFmtId="168" formatCode="&quot;Trials &quot;0"/>
  </numFmts>
  <fonts count="21" x14ac:knownFonts="1">
    <font>
      <sz val="11"/>
      <color theme="1"/>
      <name val="Calibri"/>
      <family val="2"/>
      <scheme val="minor"/>
    </font>
    <font>
      <sz val="11"/>
      <color theme="1"/>
      <name val="Calibri"/>
      <family val="2"/>
      <scheme val="minor"/>
    </font>
    <font>
      <sz val="11"/>
      <color rgb="FF3F3F76"/>
      <name val="Calibri"/>
      <family val="2"/>
      <scheme val="minor"/>
    </font>
    <font>
      <b/>
      <sz val="11"/>
      <color rgb="FFFFFF00"/>
      <name val="Calibri"/>
      <family val="2"/>
      <scheme val="minor"/>
    </font>
    <font>
      <b/>
      <sz val="11"/>
      <color rgb="FFFF0000"/>
      <name val="Calibri"/>
      <family val="2"/>
      <scheme val="minor"/>
    </font>
    <font>
      <sz val="10"/>
      <color rgb="FF000000"/>
      <name val="Tahoma"/>
      <family val="2"/>
    </font>
    <font>
      <b/>
      <sz val="10"/>
      <color rgb="FF000000"/>
      <name val="Tahoma"/>
      <family val="2"/>
    </font>
    <font>
      <sz val="9"/>
      <color rgb="FF000000"/>
      <name val="Tahoma"/>
      <family val="2"/>
    </font>
    <font>
      <i/>
      <sz val="9"/>
      <color rgb="FF000000"/>
      <name val="Tahoma"/>
      <family val="2"/>
    </font>
    <font>
      <b/>
      <sz val="11"/>
      <color theme="1"/>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sz val="11"/>
      <color rgb="FF000000"/>
      <name val="Calibri"/>
      <family val="2"/>
    </font>
    <font>
      <sz val="11"/>
      <color rgb="FF006100"/>
      <name val="Calibri"/>
      <family val="2"/>
      <scheme val="minor"/>
    </font>
    <font>
      <b/>
      <sz val="11"/>
      <color rgb="FF006100"/>
      <name val="Calibri"/>
      <family val="2"/>
      <scheme val="minor"/>
    </font>
    <font>
      <sz val="9"/>
      <color indexed="81"/>
      <name val="Tahoma"/>
      <family val="2"/>
    </font>
    <font>
      <b/>
      <sz val="9"/>
      <color indexed="81"/>
      <name val="Tahoma"/>
      <family val="2"/>
    </font>
    <font>
      <b/>
      <sz val="22"/>
      <color theme="1"/>
      <name val="Times New Roman"/>
      <family val="1"/>
    </font>
    <font>
      <sz val="11"/>
      <name val="Calibri"/>
      <family val="2"/>
      <scheme val="minor"/>
    </font>
    <font>
      <b/>
      <sz val="11"/>
      <color theme="0"/>
      <name val="Calibri"/>
      <family val="2"/>
      <scheme val="minor"/>
    </font>
  </fonts>
  <fills count="15">
    <fill>
      <patternFill patternType="none"/>
    </fill>
    <fill>
      <patternFill patternType="gray125"/>
    </fill>
    <fill>
      <patternFill patternType="solid">
        <fgColor rgb="FFFFCC99"/>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C6EFCE"/>
      </patternFill>
    </fill>
    <fill>
      <patternFill patternType="solid">
        <fgColor rgb="FFFFFF00"/>
        <bgColor indexed="64"/>
      </patternFill>
    </fill>
    <fill>
      <patternFill patternType="solid">
        <fgColor theme="7" tint="0.39997558519241921"/>
        <bgColor indexed="64"/>
      </patternFill>
    </fill>
    <fill>
      <patternFill patternType="solid">
        <fgColor theme="8" tint="0.59999389629810485"/>
        <bgColor indexed="64"/>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bottom style="thin">
        <color rgb="FF7F7F7F"/>
      </bottom>
      <diagonal/>
    </border>
    <border>
      <left style="thin">
        <color auto="1"/>
      </left>
      <right style="thin">
        <color auto="1"/>
      </right>
      <top/>
      <bottom style="thin">
        <color auto="1"/>
      </bottom>
      <diagonal/>
    </border>
    <border>
      <left/>
      <right/>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bottom/>
      <diagonal/>
    </border>
    <border>
      <left/>
      <right/>
      <top style="thin">
        <color rgb="FF7F7F7F"/>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7F7F7F"/>
      </left>
      <right style="medium">
        <color indexed="64"/>
      </right>
      <top style="thin">
        <color rgb="FF7F7F7F"/>
      </top>
      <bottom style="medium">
        <color indexed="64"/>
      </bottom>
      <diagonal/>
    </border>
    <border>
      <left/>
      <right/>
      <top style="medium">
        <color indexed="64"/>
      </top>
      <bottom/>
      <diagonal/>
    </border>
    <border>
      <left/>
      <right/>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4">
    <xf numFmtId="0" fontId="0" fillId="0" borderId="0"/>
    <xf numFmtId="9" fontId="1" fillId="0" borderId="0" applyFont="0" applyFill="0" applyBorder="0" applyAlignment="0" applyProtection="0"/>
    <xf numFmtId="0" fontId="2" fillId="2" borderId="1" applyNumberFormat="0" applyAlignment="0" applyProtection="0"/>
    <xf numFmtId="0" fontId="14" fillId="11" borderId="0" applyNumberFormat="0" applyBorder="0" applyAlignment="0" applyProtection="0"/>
  </cellStyleXfs>
  <cellXfs count="139">
    <xf numFmtId="0" fontId="0" fillId="0" borderId="0" xfId="0"/>
    <xf numFmtId="0" fontId="0" fillId="4" borderId="2" xfId="0" applyFill="1" applyBorder="1"/>
    <xf numFmtId="0" fontId="2" fillId="2" borderId="2" xfId="2" applyBorder="1" applyAlignment="1"/>
    <xf numFmtId="0" fontId="2" fillId="2" borderId="2" xfId="2" applyBorder="1"/>
    <xf numFmtId="9" fontId="2" fillId="2" borderId="2" xfId="2" applyNumberFormat="1" applyBorder="1"/>
    <xf numFmtId="164" fontId="2" fillId="2" borderId="2" xfId="2" applyNumberFormat="1" applyBorder="1"/>
    <xf numFmtId="10" fontId="2" fillId="2" borderId="2" xfId="1" applyNumberFormat="1" applyFont="1" applyFill="1" applyBorder="1"/>
    <xf numFmtId="9" fontId="2" fillId="2" borderId="2" xfId="2" applyNumberFormat="1" applyBorder="1" applyAlignment="1">
      <alignment vertical="center"/>
    </xf>
    <xf numFmtId="9" fontId="2" fillId="2" borderId="2" xfId="1" applyFont="1" applyFill="1" applyBorder="1"/>
    <xf numFmtId="0" fontId="0" fillId="4" borderId="3" xfId="0" applyFill="1" applyBorder="1" applyAlignment="1"/>
    <xf numFmtId="10" fontId="0" fillId="0" borderId="2" xfId="1" applyNumberFormat="1" applyFont="1" applyBorder="1"/>
    <xf numFmtId="10" fontId="2" fillId="2" borderId="4" xfId="2" applyNumberFormat="1" applyBorder="1"/>
    <xf numFmtId="10" fontId="2" fillId="2" borderId="1" xfId="2" applyNumberFormat="1" applyBorder="1"/>
    <xf numFmtId="10" fontId="2" fillId="2" borderId="2" xfId="2" applyNumberFormat="1" applyBorder="1"/>
    <xf numFmtId="0" fontId="0" fillId="4" borderId="2" xfId="0" applyFill="1" applyBorder="1" applyAlignment="1">
      <alignment horizontal="right"/>
    </xf>
    <xf numFmtId="165" fontId="0" fillId="5" borderId="2" xfId="1" applyNumberFormat="1" applyFont="1" applyFill="1" applyBorder="1"/>
    <xf numFmtId="10" fontId="2" fillId="2" borderId="6" xfId="2" applyNumberFormat="1" applyBorder="1"/>
    <xf numFmtId="165" fontId="2" fillId="2" borderId="2" xfId="2" applyNumberFormat="1" applyBorder="1"/>
    <xf numFmtId="0" fontId="0" fillId="0" borderId="0" xfId="0" applyFill="1"/>
    <xf numFmtId="10" fontId="2" fillId="2" borderId="8" xfId="2" applyNumberFormat="1" applyBorder="1"/>
    <xf numFmtId="10" fontId="2" fillId="2" borderId="10" xfId="2" applyNumberFormat="1" applyBorder="1"/>
    <xf numFmtId="165" fontId="0" fillId="5" borderId="8" xfId="1" applyNumberFormat="1" applyFont="1" applyFill="1" applyBorder="1"/>
    <xf numFmtId="165" fontId="2" fillId="2" borderId="8" xfId="2" applyNumberFormat="1" applyBorder="1"/>
    <xf numFmtId="0" fontId="0" fillId="4" borderId="5" xfId="0" applyFill="1" applyBorder="1" applyAlignment="1">
      <alignment horizontal="center"/>
    </xf>
    <xf numFmtId="0" fontId="0" fillId="8" borderId="2" xfId="0" applyFill="1" applyBorder="1"/>
    <xf numFmtId="164" fontId="0" fillId="0" borderId="0" xfId="0" applyNumberFormat="1" applyFill="1"/>
    <xf numFmtId="164" fontId="0" fillId="0" borderId="0" xfId="0" applyNumberFormat="1"/>
    <xf numFmtId="0" fontId="0" fillId="0" borderId="2" xfId="0" applyNumberFormat="1" applyBorder="1"/>
    <xf numFmtId="164" fontId="0" fillId="0" borderId="2" xfId="0" applyNumberFormat="1" applyBorder="1"/>
    <xf numFmtId="0" fontId="0" fillId="0" borderId="2" xfId="1" applyNumberFormat="1" applyFont="1" applyBorder="1"/>
    <xf numFmtId="164" fontId="0" fillId="0" borderId="2" xfId="0" quotePrefix="1" applyNumberFormat="1" applyBorder="1"/>
    <xf numFmtId="10" fontId="0" fillId="0" borderId="2" xfId="0" applyNumberFormat="1" applyBorder="1"/>
    <xf numFmtId="167" fontId="0" fillId="0" borderId="2" xfId="1" applyNumberFormat="1" applyFont="1" applyBorder="1"/>
    <xf numFmtId="166" fontId="0" fillId="0" borderId="2" xfId="0" applyNumberFormat="1" applyFont="1" applyBorder="1"/>
    <xf numFmtId="166" fontId="0" fillId="0" borderId="2" xfId="0" applyNumberFormat="1" applyBorder="1"/>
    <xf numFmtId="0" fontId="9" fillId="6" borderId="2" xfId="0" applyFont="1" applyFill="1" applyBorder="1"/>
    <xf numFmtId="0" fontId="0" fillId="5" borderId="2" xfId="0" applyFill="1" applyBorder="1" applyAlignment="1">
      <alignment horizontal="center"/>
    </xf>
    <xf numFmtId="0" fontId="2" fillId="2" borderId="20" xfId="2" applyBorder="1" applyAlignment="1">
      <alignment horizontal="right"/>
    </xf>
    <xf numFmtId="0" fontId="0" fillId="0" borderId="2" xfId="0" applyBorder="1"/>
    <xf numFmtId="0" fontId="2" fillId="2" borderId="30" xfId="2" applyBorder="1"/>
    <xf numFmtId="0" fontId="0" fillId="0" borderId="2" xfId="0" applyBorder="1" applyAlignment="1">
      <alignment horizontal="right"/>
    </xf>
    <xf numFmtId="2" fontId="0" fillId="0" borderId="2" xfId="1" applyNumberFormat="1" applyFont="1" applyBorder="1"/>
    <xf numFmtId="0" fontId="0" fillId="4" borderId="12" xfId="0" applyFill="1" applyBorder="1"/>
    <xf numFmtId="0" fontId="0" fillId="4" borderId="13" xfId="0" applyFill="1" applyBorder="1"/>
    <xf numFmtId="0" fontId="0" fillId="4" borderId="15" xfId="0" applyFill="1" applyBorder="1"/>
    <xf numFmtId="164" fontId="9" fillId="10" borderId="14" xfId="0" applyNumberFormat="1" applyFont="1" applyFill="1" applyBorder="1"/>
    <xf numFmtId="10" fontId="9" fillId="10" borderId="16" xfId="1" applyNumberFormat="1" applyFont="1" applyFill="1" applyBorder="1"/>
    <xf numFmtId="9" fontId="0" fillId="0" borderId="2" xfId="0" applyNumberFormat="1" applyBorder="1"/>
    <xf numFmtId="9" fontId="0" fillId="0" borderId="0" xfId="1" applyFont="1"/>
    <xf numFmtId="164" fontId="0" fillId="4" borderId="2" xfId="0" applyNumberFormat="1" applyFill="1" applyBorder="1" applyAlignment="1">
      <alignment horizontal="right"/>
    </xf>
    <xf numFmtId="10" fontId="0" fillId="4" borderId="2" xfId="1" applyNumberFormat="1" applyFont="1" applyFill="1" applyBorder="1" applyAlignment="1">
      <alignment horizontal="right"/>
    </xf>
    <xf numFmtId="0" fontId="9" fillId="6" borderId="5" xfId="0" applyFont="1" applyFill="1" applyBorder="1" applyAlignment="1">
      <alignment horizontal="right"/>
    </xf>
    <xf numFmtId="10" fontId="0" fillId="0" borderId="0" xfId="0" applyNumberFormat="1"/>
    <xf numFmtId="9" fontId="0" fillId="10" borderId="2" xfId="1" applyFont="1" applyFill="1" applyBorder="1"/>
    <xf numFmtId="167" fontId="0" fillId="10" borderId="2" xfId="1" applyNumberFormat="1" applyFont="1" applyFill="1" applyBorder="1"/>
    <xf numFmtId="10" fontId="0" fillId="10" borderId="2" xfId="0" applyNumberFormat="1" applyFill="1" applyBorder="1"/>
    <xf numFmtId="9" fontId="0" fillId="10" borderId="2" xfId="0" applyNumberFormat="1" applyFill="1" applyBorder="1"/>
    <xf numFmtId="0" fontId="0" fillId="0" borderId="23" xfId="0" applyBorder="1"/>
    <xf numFmtId="0" fontId="0" fillId="0" borderId="0" xfId="0" applyBorder="1"/>
    <xf numFmtId="0" fontId="0" fillId="0" borderId="24" xfId="0" applyBorder="1"/>
    <xf numFmtId="0" fontId="0" fillId="0" borderId="25" xfId="0" applyBorder="1"/>
    <xf numFmtId="0" fontId="0" fillId="0" borderId="32" xfId="0" applyBorder="1"/>
    <xf numFmtId="0" fontId="0" fillId="0" borderId="26" xfId="0" applyBorder="1"/>
    <xf numFmtId="168" fontId="0" fillId="0" borderId="2" xfId="0" applyNumberFormat="1" applyBorder="1"/>
    <xf numFmtId="10" fontId="15" fillId="11" borderId="2" xfId="3" applyNumberFormat="1" applyFont="1" applyBorder="1"/>
    <xf numFmtId="0" fontId="0" fillId="4" borderId="5" xfId="0" applyFill="1" applyBorder="1" applyAlignment="1">
      <alignment horizontal="center"/>
    </xf>
    <xf numFmtId="0" fontId="0" fillId="0" borderId="33" xfId="0" applyBorder="1"/>
    <xf numFmtId="0" fontId="0" fillId="0" borderId="34" xfId="0" applyBorder="1"/>
    <xf numFmtId="0" fontId="0" fillId="0" borderId="35" xfId="0" applyBorder="1"/>
    <xf numFmtId="0" fontId="0" fillId="0" borderId="36" xfId="0" applyBorder="1"/>
    <xf numFmtId="0" fontId="0" fillId="0" borderId="27" xfId="0" applyBorder="1"/>
    <xf numFmtId="0" fontId="0" fillId="0" borderId="37" xfId="0" applyBorder="1"/>
    <xf numFmtId="0" fontId="0" fillId="0" borderId="38" xfId="0" applyBorder="1"/>
    <xf numFmtId="0" fontId="0" fillId="0" borderId="39" xfId="0" applyBorder="1"/>
    <xf numFmtId="0" fontId="0" fillId="12" borderId="0" xfId="0" applyFill="1"/>
    <xf numFmtId="0" fontId="0" fillId="4" borderId="5" xfId="0" applyFill="1" applyBorder="1"/>
    <xf numFmtId="0" fontId="0" fillId="4" borderId="2" xfId="0" applyFont="1" applyFill="1" applyBorder="1"/>
    <xf numFmtId="165" fontId="19" fillId="14" borderId="2" xfId="0" applyNumberFormat="1" applyFont="1" applyFill="1" applyBorder="1"/>
    <xf numFmtId="0" fontId="2" fillId="2" borderId="2" xfId="2" applyBorder="1" applyAlignment="1">
      <alignment horizontal="right"/>
    </xf>
    <xf numFmtId="0" fontId="18" fillId="9" borderId="39"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5" xfId="0" applyFont="1" applyFill="1" applyBorder="1" applyAlignment="1">
      <alignment horizontal="center" vertical="center"/>
    </xf>
    <xf numFmtId="0" fontId="18" fillId="9" borderId="34" xfId="0" applyFont="1" applyFill="1" applyBorder="1" applyAlignment="1">
      <alignment horizontal="center" vertical="center"/>
    </xf>
    <xf numFmtId="0" fontId="18" fillId="9" borderId="33" xfId="0" applyFont="1" applyFill="1" applyBorder="1" applyAlignment="1">
      <alignment horizontal="center" vertical="center"/>
    </xf>
    <xf numFmtId="0" fontId="9" fillId="9" borderId="3" xfId="0" applyFont="1" applyFill="1" applyBorder="1" applyAlignment="1">
      <alignment horizontal="center"/>
    </xf>
    <xf numFmtId="0" fontId="9" fillId="9" borderId="11" xfId="0" applyFont="1" applyFill="1" applyBorder="1" applyAlignment="1">
      <alignment horizontal="center"/>
    </xf>
    <xf numFmtId="0" fontId="9" fillId="9" borderId="7" xfId="0" applyFont="1" applyFill="1" applyBorder="1" applyAlignment="1">
      <alignment horizontal="center"/>
    </xf>
    <xf numFmtId="0" fontId="3" fillId="3" borderId="2" xfId="0" applyFont="1" applyFill="1" applyBorder="1" applyAlignment="1"/>
    <xf numFmtId="0" fontId="3" fillId="3" borderId="3" xfId="0" applyFont="1" applyFill="1" applyBorder="1" applyAlignment="1"/>
    <xf numFmtId="0" fontId="3" fillId="3" borderId="7" xfId="0" applyFont="1" applyFill="1" applyBorder="1" applyAlignment="1"/>
    <xf numFmtId="0" fontId="0" fillId="4" borderId="5" xfId="0" applyFill="1" applyBorder="1" applyAlignment="1">
      <alignment horizontal="center"/>
    </xf>
    <xf numFmtId="0" fontId="4" fillId="7" borderId="17" xfId="0" applyFont="1" applyFill="1" applyBorder="1" applyAlignment="1">
      <alignment horizontal="center" vertical="center"/>
    </xf>
    <xf numFmtId="0" fontId="4" fillId="7" borderId="18" xfId="0" applyFont="1" applyFill="1" applyBorder="1" applyAlignment="1">
      <alignment horizontal="center" vertical="center"/>
    </xf>
    <xf numFmtId="0" fontId="4" fillId="7" borderId="19" xfId="0" applyFont="1" applyFill="1" applyBorder="1" applyAlignment="1">
      <alignment horizontal="center" vertical="center"/>
    </xf>
    <xf numFmtId="0" fontId="9" fillId="6" borderId="2" xfId="0" applyFont="1" applyFill="1" applyBorder="1" applyAlignment="1">
      <alignment horizontal="left" vertical="center"/>
    </xf>
    <xf numFmtId="0" fontId="9" fillId="6" borderId="2" xfId="0" applyFont="1" applyFill="1" applyBorder="1" applyAlignment="1">
      <alignment horizontal="left" vertical="center" wrapText="1"/>
    </xf>
    <xf numFmtId="0" fontId="0" fillId="5" borderId="2" xfId="0" applyFill="1" applyBorder="1" applyAlignment="1">
      <alignment horizontal="center" vertical="center"/>
    </xf>
    <xf numFmtId="0" fontId="0" fillId="6" borderId="3"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right" wrapText="1"/>
    </xf>
    <xf numFmtId="0" fontId="0" fillId="6" borderId="9" xfId="0" applyFill="1" applyBorder="1" applyAlignment="1">
      <alignment horizontal="right" wrapText="1"/>
    </xf>
    <xf numFmtId="0" fontId="0" fillId="6" borderId="5" xfId="0" applyFill="1" applyBorder="1" applyAlignment="1">
      <alignment horizontal="right" wrapText="1"/>
    </xf>
    <xf numFmtId="0" fontId="0" fillId="4" borderId="2" xfId="0" applyFill="1" applyBorder="1" applyAlignment="1">
      <alignment horizontal="center"/>
    </xf>
    <xf numFmtId="0" fontId="0" fillId="4" borderId="2" xfId="0" applyFill="1" applyBorder="1" applyAlignment="1">
      <alignment horizontal="center" vertical="center" textRotation="45"/>
    </xf>
    <xf numFmtId="0" fontId="12" fillId="9" borderId="21" xfId="0" applyFont="1" applyFill="1" applyBorder="1" applyAlignment="1">
      <alignment horizontal="center" vertical="center"/>
    </xf>
    <xf numFmtId="0" fontId="12" fillId="9" borderId="31" xfId="0" applyFont="1" applyFill="1" applyBorder="1" applyAlignment="1">
      <alignment horizontal="center" vertical="center"/>
    </xf>
    <xf numFmtId="0" fontId="12" fillId="9" borderId="22" xfId="0" applyFont="1" applyFill="1" applyBorder="1" applyAlignment="1">
      <alignment horizontal="center" vertical="center"/>
    </xf>
    <xf numFmtId="0" fontId="12" fillId="9" borderId="25" xfId="0" applyFont="1" applyFill="1" applyBorder="1" applyAlignment="1">
      <alignment horizontal="center" vertical="center"/>
    </xf>
    <xf numFmtId="0" fontId="12" fillId="9" borderId="32" xfId="0" applyFont="1" applyFill="1" applyBorder="1" applyAlignment="1">
      <alignment horizontal="center" vertical="center"/>
    </xf>
    <xf numFmtId="0" fontId="12" fillId="9" borderId="26" xfId="0" applyFont="1" applyFill="1" applyBorder="1" applyAlignment="1">
      <alignment horizontal="center" vertical="center"/>
    </xf>
    <xf numFmtId="0" fontId="11" fillId="9" borderId="21" xfId="0" applyFont="1" applyFill="1" applyBorder="1" applyAlignment="1">
      <alignment horizontal="center" vertical="center"/>
    </xf>
    <xf numFmtId="0" fontId="11" fillId="9" borderId="31" xfId="0" applyFont="1" applyFill="1" applyBorder="1" applyAlignment="1">
      <alignment horizontal="center" vertical="center"/>
    </xf>
    <xf numFmtId="0" fontId="11" fillId="9" borderId="22" xfId="0" applyFont="1" applyFill="1" applyBorder="1" applyAlignment="1">
      <alignment horizontal="center" vertical="center"/>
    </xf>
    <xf numFmtId="0" fontId="11" fillId="9" borderId="25" xfId="0" applyFont="1" applyFill="1" applyBorder="1" applyAlignment="1">
      <alignment horizontal="center" vertical="center"/>
    </xf>
    <xf numFmtId="0" fontId="11" fillId="9" borderId="32" xfId="0" applyFont="1" applyFill="1" applyBorder="1" applyAlignment="1">
      <alignment horizontal="center" vertical="center"/>
    </xf>
    <xf numFmtId="0" fontId="11" fillId="9" borderId="26" xfId="0" applyFont="1" applyFill="1" applyBorder="1" applyAlignment="1">
      <alignment horizontal="center" vertical="center"/>
    </xf>
    <xf numFmtId="0" fontId="0" fillId="6" borderId="11" xfId="0" applyFill="1" applyBorder="1" applyAlignment="1">
      <alignment horizontal="center"/>
    </xf>
    <xf numFmtId="0" fontId="0" fillId="6" borderId="2" xfId="0" applyFill="1" applyBorder="1" applyAlignment="1">
      <alignment horizontal="center"/>
    </xf>
    <xf numFmtId="0" fontId="0" fillId="6" borderId="2" xfId="0" applyFill="1" applyBorder="1" applyAlignment="1">
      <alignment horizontal="right" wrapText="1"/>
    </xf>
    <xf numFmtId="164" fontId="0" fillId="6" borderId="2" xfId="0" applyNumberFormat="1" applyFill="1" applyBorder="1" applyAlignment="1">
      <alignment horizontal="right" wrapText="1"/>
    </xf>
    <xf numFmtId="0" fontId="3" fillId="3" borderId="27" xfId="0" applyFont="1" applyFill="1" applyBorder="1" applyAlignment="1">
      <alignment horizontal="left"/>
    </xf>
    <xf numFmtId="0" fontId="3" fillId="3" borderId="0" xfId="0" applyFont="1" applyFill="1" applyBorder="1" applyAlignment="1">
      <alignment horizontal="left"/>
    </xf>
    <xf numFmtId="0" fontId="10" fillId="9" borderId="28" xfId="0" applyFont="1" applyFill="1" applyBorder="1" applyAlignment="1">
      <alignment horizontal="center" vertical="center" wrapText="1"/>
    </xf>
    <xf numFmtId="0" fontId="10" fillId="9" borderId="29" xfId="0" applyFont="1" applyFill="1" applyBorder="1" applyAlignment="1">
      <alignment horizontal="center" vertical="center" wrapText="1"/>
    </xf>
    <xf numFmtId="0" fontId="9" fillId="9" borderId="17" xfId="0" applyFont="1" applyFill="1" applyBorder="1" applyAlignment="1">
      <alignment horizontal="center"/>
    </xf>
    <xf numFmtId="0" fontId="9" fillId="9" borderId="18" xfId="0" applyFont="1" applyFill="1" applyBorder="1" applyAlignment="1">
      <alignment horizontal="center"/>
    </xf>
    <xf numFmtId="0" fontId="9" fillId="9" borderId="19" xfId="0" applyFont="1" applyFill="1" applyBorder="1" applyAlignment="1">
      <alignment horizontal="center"/>
    </xf>
    <xf numFmtId="0" fontId="0" fillId="4" borderId="3" xfId="0" applyFill="1" applyBorder="1"/>
    <xf numFmtId="0" fontId="0" fillId="4" borderId="7" xfId="0" applyFill="1" applyBorder="1"/>
    <xf numFmtId="0" fontId="10" fillId="9" borderId="21" xfId="0" applyFont="1" applyFill="1" applyBorder="1" applyAlignment="1">
      <alignment horizontal="center" vertical="center" wrapText="1"/>
    </xf>
    <xf numFmtId="0" fontId="10" fillId="9" borderId="22" xfId="0" applyFont="1" applyFill="1" applyBorder="1" applyAlignment="1">
      <alignment horizontal="center" vertical="center" wrapText="1"/>
    </xf>
    <xf numFmtId="0" fontId="10" fillId="9" borderId="23" xfId="0" applyFont="1" applyFill="1" applyBorder="1" applyAlignment="1">
      <alignment horizontal="center" vertical="center" wrapText="1"/>
    </xf>
    <xf numFmtId="0" fontId="10" fillId="9" borderId="24"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26" xfId="0" applyFont="1" applyFill="1" applyBorder="1" applyAlignment="1">
      <alignment horizontal="center" vertical="center" wrapText="1"/>
    </xf>
    <xf numFmtId="0" fontId="0" fillId="6" borderId="2" xfId="0" applyFill="1" applyBorder="1" applyAlignment="1">
      <alignment horizontal="right"/>
    </xf>
    <xf numFmtId="0" fontId="20" fillId="13" borderId="2" xfId="0" applyFont="1" applyFill="1" applyBorder="1" applyAlignment="1">
      <alignment horizontal="left"/>
    </xf>
    <xf numFmtId="0" fontId="0" fillId="9" borderId="2" xfId="0" applyFill="1" applyBorder="1" applyAlignment="1">
      <alignment horizontal="center" wrapText="1"/>
    </xf>
  </cellXfs>
  <cellStyles count="4">
    <cellStyle name="Good" xfId="3" builtinId="26"/>
    <cellStyle name="Input" xfId="2" builtinId="20"/>
    <cellStyle name="Normal" xfId="0" builtinId="0"/>
    <cellStyle name="Percent" xfId="1" builtinId="5"/>
  </cellStyles>
  <dxfs count="7">
    <dxf>
      <font>
        <color theme="0"/>
      </font>
      <numFmt numFmtId="170" formatCode=";;;"/>
      <fill>
        <patternFill patternType="none">
          <bgColor auto="1"/>
        </patternFill>
      </fill>
      <border>
        <left/>
        <right/>
        <top/>
        <bottom/>
        <vertical/>
        <horizontal/>
      </border>
    </dxf>
    <dxf>
      <font>
        <color theme="0"/>
      </font>
      <numFmt numFmtId="170" formatCode=";;;"/>
      <fill>
        <patternFill patternType="none">
          <bgColor auto="1"/>
        </patternFill>
      </fill>
      <border>
        <left/>
        <right/>
        <top/>
        <bottom/>
        <vertical/>
        <horizontal/>
      </border>
    </dxf>
    <dxf>
      <font>
        <color theme="0"/>
      </font>
      <numFmt numFmtId="0" formatCode="General"/>
      <fill>
        <patternFill patternType="none">
          <bgColor auto="1"/>
        </patternFill>
      </fill>
      <border>
        <left/>
        <right/>
        <top/>
        <bottom/>
        <vertical/>
        <horizontal/>
      </border>
    </dxf>
    <dxf>
      <font>
        <color theme="0"/>
      </font>
      <numFmt numFmtId="0" formatCode="General"/>
      <fill>
        <patternFill patternType="none">
          <bgColor auto="1"/>
        </patternFill>
      </fill>
      <border>
        <left/>
        <right/>
        <top/>
        <bottom/>
        <vertical/>
        <horizontal/>
      </border>
    </dxf>
    <dxf>
      <font>
        <color theme="0"/>
      </font>
    </dxf>
    <dxf>
      <font>
        <color theme="0"/>
      </font>
      <numFmt numFmtId="0" formatCode="General"/>
      <fill>
        <patternFill patternType="none">
          <bgColor auto="1"/>
        </patternFill>
      </fill>
      <border>
        <left/>
        <right/>
        <top/>
        <bottom/>
        <vertical/>
        <horizontal/>
      </border>
    </dxf>
    <dxf>
      <border>
        <left/>
        <right/>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spPr>
            <a:ln w="19050" cap="rnd">
              <a:solidFill>
                <a:schemeClr val="accent1"/>
              </a:solidFill>
              <a:round/>
            </a:ln>
            <a:effectLst/>
          </c:spPr>
          <c:marker>
            <c:symbol val="none"/>
          </c:marker>
          <c:xVal>
            <c:numRef>
              <c:f>Model!$AA$6:$AA$65</c:f>
              <c:numCache>
                <c:formatCode>General</c:formatCode>
                <c:ptCount val="60"/>
                <c:pt idx="0">
                  <c:v>26</c:v>
                </c:pt>
                <c:pt idx="1">
                  <c:v>27</c:v>
                </c:pt>
                <c:pt idx="2">
                  <c:v>28</c:v>
                </c:pt>
                <c:pt idx="3">
                  <c:v>29</c:v>
                </c:pt>
                <c:pt idx="4">
                  <c:v>30</c:v>
                </c:pt>
                <c:pt idx="5">
                  <c:v>31</c:v>
                </c:pt>
                <c:pt idx="6">
                  <c:v>32</c:v>
                </c:pt>
                <c:pt idx="7">
                  <c:v>33</c:v>
                </c:pt>
                <c:pt idx="8">
                  <c:v>34</c:v>
                </c:pt>
                <c:pt idx="9">
                  <c:v>35</c:v>
                </c:pt>
                <c:pt idx="10">
                  <c:v>36</c:v>
                </c:pt>
                <c:pt idx="11">
                  <c:v>37</c:v>
                </c:pt>
                <c:pt idx="12">
                  <c:v>38</c:v>
                </c:pt>
                <c:pt idx="13">
                  <c:v>39</c:v>
                </c:pt>
                <c:pt idx="14">
                  <c:v>40</c:v>
                </c:pt>
                <c:pt idx="15">
                  <c:v>41</c:v>
                </c:pt>
                <c:pt idx="16">
                  <c:v>42</c:v>
                </c:pt>
                <c:pt idx="17">
                  <c:v>43</c:v>
                </c:pt>
                <c:pt idx="18">
                  <c:v>44</c:v>
                </c:pt>
                <c:pt idx="19">
                  <c:v>45</c:v>
                </c:pt>
                <c:pt idx="20">
                  <c:v>46</c:v>
                </c:pt>
                <c:pt idx="21">
                  <c:v>47</c:v>
                </c:pt>
                <c:pt idx="22">
                  <c:v>48</c:v>
                </c:pt>
                <c:pt idx="23">
                  <c:v>49</c:v>
                </c:pt>
                <c:pt idx="24">
                  <c:v>50</c:v>
                </c:pt>
                <c:pt idx="25">
                  <c:v>51</c:v>
                </c:pt>
                <c:pt idx="26">
                  <c:v>52</c:v>
                </c:pt>
                <c:pt idx="27">
                  <c:v>53</c:v>
                </c:pt>
                <c:pt idx="28">
                  <c:v>54</c:v>
                </c:pt>
                <c:pt idx="29">
                  <c:v>55</c:v>
                </c:pt>
                <c:pt idx="30">
                  <c:v>56</c:v>
                </c:pt>
                <c:pt idx="31">
                  <c:v>57</c:v>
                </c:pt>
                <c:pt idx="32">
                  <c:v>58</c:v>
                </c:pt>
                <c:pt idx="33">
                  <c:v>59</c:v>
                </c:pt>
                <c:pt idx="34">
                  <c:v>60</c:v>
                </c:pt>
                <c:pt idx="35">
                  <c:v>61</c:v>
                </c:pt>
                <c:pt idx="36">
                  <c:v>62</c:v>
                </c:pt>
                <c:pt idx="37">
                  <c:v>63</c:v>
                </c:pt>
                <c:pt idx="38">
                  <c:v>64</c:v>
                </c:pt>
                <c:pt idx="39">
                  <c:v>65</c:v>
                </c:pt>
                <c:pt idx="40">
                  <c:v>66</c:v>
                </c:pt>
                <c:pt idx="41">
                  <c:v>67</c:v>
                </c:pt>
                <c:pt idx="42">
                  <c:v>68</c:v>
                </c:pt>
                <c:pt idx="43">
                  <c:v>69</c:v>
                </c:pt>
                <c:pt idx="44">
                  <c:v>70</c:v>
                </c:pt>
                <c:pt idx="45">
                  <c:v>71</c:v>
                </c:pt>
                <c:pt idx="46">
                  <c:v>72</c:v>
                </c:pt>
                <c:pt idx="47">
                  <c:v>73</c:v>
                </c:pt>
                <c:pt idx="48">
                  <c:v>74</c:v>
                </c:pt>
                <c:pt idx="49">
                  <c:v>75</c:v>
                </c:pt>
                <c:pt idx="50">
                  <c:v>76</c:v>
                </c:pt>
                <c:pt idx="51">
                  <c:v>77</c:v>
                </c:pt>
                <c:pt idx="52">
                  <c:v>78</c:v>
                </c:pt>
                <c:pt idx="53">
                  <c:v>79</c:v>
                </c:pt>
                <c:pt idx="54">
                  <c:v>80</c:v>
                </c:pt>
                <c:pt idx="55">
                  <c:v>81</c:v>
                </c:pt>
                <c:pt idx="56">
                  <c:v>82</c:v>
                </c:pt>
                <c:pt idx="57">
                  <c:v>83</c:v>
                </c:pt>
                <c:pt idx="58">
                  <c:v>84</c:v>
                </c:pt>
                <c:pt idx="59">
                  <c:v>85</c:v>
                </c:pt>
              </c:numCache>
            </c:numRef>
          </c:xVal>
          <c:yVal>
            <c:numRef>
              <c:f>Model!$AR$6:$AR$65</c:f>
              <c:numCache>
                <c:formatCode>"$"#,##0</c:formatCode>
                <c:ptCount val="60"/>
                <c:pt idx="0">
                  <c:v>16432</c:v>
                </c:pt>
                <c:pt idx="1">
                  <c:v>24112.399999999998</c:v>
                </c:pt>
                <c:pt idx="2">
                  <c:v>32626.749999999996</c:v>
                </c:pt>
                <c:pt idx="3">
                  <c:v>42047.913049999988</c:v>
                </c:pt>
                <c:pt idx="4">
                  <c:v>52454.629600749984</c:v>
                </c:pt>
                <c:pt idx="5">
                  <c:v>63931.974815686233</c:v>
                </c:pt>
                <c:pt idx="6">
                  <c:v>76571.850841537889</c:v>
                </c:pt>
                <c:pt idx="7">
                  <c:v>90473.516685915427</c:v>
                </c:pt>
                <c:pt idx="8">
                  <c:v>105744.15854987178</c:v>
                </c:pt>
                <c:pt idx="9">
                  <c:v>122499.50367812536</c:v>
                </c:pt>
                <c:pt idx="10">
                  <c:v>140864.48102047847</c:v>
                </c:pt>
                <c:pt idx="11">
                  <c:v>160973.93224616782</c:v>
                </c:pt>
                <c:pt idx="12">
                  <c:v>182973.37691975001</c:v>
                </c:pt>
                <c:pt idx="13">
                  <c:v>207019.83593405565</c:v>
                </c:pt>
                <c:pt idx="14">
                  <c:v>233282.71760424718</c:v>
                </c:pt>
                <c:pt idx="15">
                  <c:v>261944.77115870861</c:v>
                </c:pt>
                <c:pt idx="16">
                  <c:v>293203.11271912034</c:v>
                </c:pt>
                <c:pt idx="17">
                  <c:v>327270.32924550329</c:v>
                </c:pt>
                <c:pt idx="18">
                  <c:v>364375.66633426293</c:v>
                </c:pt>
                <c:pt idx="19">
                  <c:v>404766.30620049342</c:v>
                </c:pt>
                <c:pt idx="20">
                  <c:v>448708.74265233759</c:v>
                </c:pt>
                <c:pt idx="21">
                  <c:v>496490.26037754241</c:v>
                </c:pt>
                <c:pt idx="22">
                  <c:v>548420.52641318878</c:v>
                </c:pt>
                <c:pt idx="23">
                  <c:v>604833.30226180179</c:v>
                </c:pt>
                <c:pt idx="24">
                  <c:v>666088.28575376573</c:v>
                </c:pt>
                <c:pt idx="25">
                  <c:v>732573.09244052018</c:v>
                </c:pt>
                <c:pt idx="26">
                  <c:v>804705.38703899016</c:v>
                </c:pt>
                <c:pt idx="27">
                  <c:v>882935.17623896245</c:v>
                </c:pt>
                <c:pt idx="28">
                  <c:v>967747.27503581473</c:v>
                </c:pt>
                <c:pt idx="29">
                  <c:v>1059663.9596655881</c:v>
                </c:pt>
                <c:pt idx="30">
                  <c:v>1159247.8212026779</c:v>
                </c:pt>
                <c:pt idx="31">
                  <c:v>1267104.8349375364</c:v>
                </c:pt>
                <c:pt idx="32">
                  <c:v>1383887.6617882955</c:v>
                </c:pt>
                <c:pt idx="33">
                  <c:v>1510299.1992220792</c:v>
                </c:pt>
                <c:pt idx="34">
                  <c:v>1647096.4004753833</c:v>
                </c:pt>
                <c:pt idx="35">
                  <c:v>1721697.1269828088</c:v>
                </c:pt>
                <c:pt idx="36">
                  <c:v>1799935.6478371623</c:v>
                </c:pt>
                <c:pt idx="37">
                  <c:v>1913761.0957384969</c:v>
                </c:pt>
                <c:pt idx="38">
                  <c:v>2035276.6632049733</c:v>
                </c:pt>
                <c:pt idx="39">
                  <c:v>2165025.2376428791</c:v>
                </c:pt>
                <c:pt idx="40">
                  <c:v>2303589.0681515294</c:v>
                </c:pt>
                <c:pt idx="41">
                  <c:v>2451592.6634557452</c:v>
                </c:pt>
                <c:pt idx="42">
                  <c:v>2609705.9050154914</c:v>
                </c:pt>
                <c:pt idx="43">
                  <c:v>2778647.391364241</c:v>
                </c:pt>
                <c:pt idx="44">
                  <c:v>2959188.0309280506</c:v>
                </c:pt>
                <c:pt idx="45">
                  <c:v>3007293.7449673628</c:v>
                </c:pt>
                <c:pt idx="46">
                  <c:v>3052054.052028412</c:v>
                </c:pt>
                <c:pt idx="47">
                  <c:v>3092939.9131665793</c:v>
                </c:pt>
                <c:pt idx="48">
                  <c:v>3129371.4861795506</c:v>
                </c:pt>
                <c:pt idx="49">
                  <c:v>3160713.8703495143</c:v>
                </c:pt>
                <c:pt idx="50">
                  <c:v>3186272.5142404852</c:v>
                </c:pt>
                <c:pt idx="51">
                  <c:v>3205288.2605678686</c:v>
                </c:pt>
                <c:pt idx="52">
                  <c:v>2988179.120249901</c:v>
                </c:pt>
                <c:pt idx="53">
                  <c:v>2736486.5640136637</c:v>
                </c:pt>
                <c:pt idx="54">
                  <c:v>2446884.8264495097</c:v>
                </c:pt>
                <c:pt idx="55">
                  <c:v>2115769.4293734371</c:v>
                </c:pt>
                <c:pt idx="56">
                  <c:v>1739235.1071542676</c:v>
                </c:pt>
                <c:pt idx="57">
                  <c:v>1313052.0295917732</c:v>
                </c:pt>
                <c:pt idx="58">
                  <c:v>832640.19278812909</c:v>
                </c:pt>
                <c:pt idx="59">
                  <c:v>293041.83866329072</c:v>
                </c:pt>
              </c:numCache>
            </c:numRef>
          </c:yVal>
          <c:smooth val="1"/>
          <c:extLst>
            <c:ext xmlns:c16="http://schemas.microsoft.com/office/drawing/2014/chart" uri="{C3380CC4-5D6E-409C-BE32-E72D297353CC}">
              <c16:uniqueId val="{00000001-598B-4BA5-94E3-41B4E38FBF03}"/>
            </c:ext>
          </c:extLst>
        </c:ser>
        <c:dLbls>
          <c:showLegendKey val="0"/>
          <c:showVal val="0"/>
          <c:showCatName val="0"/>
          <c:showSerName val="0"/>
          <c:showPercent val="0"/>
          <c:showBubbleSize val="0"/>
        </c:dLbls>
        <c:axId val="1434087616"/>
        <c:axId val="1448038784"/>
      </c:scatterChart>
      <c:valAx>
        <c:axId val="1434087616"/>
        <c:scaling>
          <c:orientation val="minMax"/>
          <c:min val="20"/>
        </c:scaling>
        <c:delete val="0"/>
        <c:axPos val="b"/>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Age</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038784"/>
        <c:crosses val="autoZero"/>
        <c:crossBetween val="midCat"/>
      </c:valAx>
      <c:valAx>
        <c:axId val="1448038784"/>
        <c:scaling>
          <c:orientation val="minMax"/>
        </c:scaling>
        <c:delete val="0"/>
        <c:axPos val="l"/>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Account Balance</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087616"/>
        <c:crosses val="autoZero"/>
        <c:crossBetween val="midCat"/>
        <c:dispUnits>
          <c:builtInUnit val="thousands"/>
          <c:dispUnitsLbl>
            <c:layout>
              <c:manualLayout>
                <c:xMode val="edge"/>
                <c:yMode val="edge"/>
                <c:x val="4.5055348428795577E-2"/>
                <c:y val="0.42039026371703536"/>
              </c:manualLayout>
            </c:layout>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(Thousands)</a:t>
                  </a:r>
                </a:p>
              </c:rich>
            </c:tx>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Shortfall vs. Savings Rate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Model!$BK$5:$BK$19</c:f>
              <c:numCache>
                <c:formatCode>0.0%</c:formatCode>
                <c:ptCount val="15"/>
                <c:pt idx="0">
                  <c:v>0</c:v>
                </c:pt>
                <c:pt idx="1">
                  <c:v>2.5000000000000001E-2</c:v>
                </c:pt>
                <c:pt idx="2">
                  <c:v>0.05</c:v>
                </c:pt>
                <c:pt idx="3">
                  <c:v>7.4999999999999997E-2</c:v>
                </c:pt>
                <c:pt idx="4">
                  <c:v>0.1</c:v>
                </c:pt>
                <c:pt idx="5">
                  <c:v>0.125</c:v>
                </c:pt>
                <c:pt idx="6">
                  <c:v>0.15</c:v>
                </c:pt>
                <c:pt idx="7">
                  <c:v>0.17499999999999999</c:v>
                </c:pt>
                <c:pt idx="8">
                  <c:v>0.2</c:v>
                </c:pt>
                <c:pt idx="9">
                  <c:v>0.22500000000000001</c:v>
                </c:pt>
                <c:pt idx="10">
                  <c:v>0.25</c:v>
                </c:pt>
                <c:pt idx="11">
                  <c:v>0.27500000000000002</c:v>
                </c:pt>
                <c:pt idx="12">
                  <c:v>0.3</c:v>
                </c:pt>
                <c:pt idx="13">
                  <c:v>0.32500000000000001</c:v>
                </c:pt>
                <c:pt idx="14">
                  <c:v>0.35</c:v>
                </c:pt>
              </c:numCache>
            </c:numRef>
          </c:xVal>
          <c:yVal>
            <c:numRef>
              <c:f>Model!$BL$5:$BL$19</c:f>
              <c:numCache>
                <c:formatCode>"$"#,##0</c:formatCode>
                <c:ptCount val="15"/>
                <c:pt idx="0">
                  <c:v>9266283.545524491</c:v>
                </c:pt>
                <c:pt idx="1">
                  <c:v>7048052.2898866432</c:v>
                </c:pt>
                <c:pt idx="2">
                  <c:v>4829821.0342487916</c:v>
                </c:pt>
                <c:pt idx="3">
                  <c:v>2611589.7786109499</c:v>
                </c:pt>
                <c:pt idx="4">
                  <c:v>393358.52297310706</c:v>
                </c:pt>
                <c:pt idx="5">
                  <c:v>-1824872.732664736</c:v>
                </c:pt>
                <c:pt idx="6">
                  <c:v>-4043103.9883025871</c:v>
                </c:pt>
                <c:pt idx="7">
                  <c:v>-6261335.2439404465</c:v>
                </c:pt>
                <c:pt idx="8">
                  <c:v>-8479566.4995782785</c:v>
                </c:pt>
                <c:pt idx="9">
                  <c:v>-10697797.755216151</c:v>
                </c:pt>
                <c:pt idx="10">
                  <c:v>-12916029.010853987</c:v>
                </c:pt>
                <c:pt idx="11">
                  <c:v>-15134260.266491845</c:v>
                </c:pt>
                <c:pt idx="12">
                  <c:v>-17352491.522129696</c:v>
                </c:pt>
                <c:pt idx="13">
                  <c:v>-19570722.777767513</c:v>
                </c:pt>
                <c:pt idx="14">
                  <c:v>-21788954.033405386</c:v>
                </c:pt>
              </c:numCache>
            </c:numRef>
          </c:yVal>
          <c:smooth val="1"/>
          <c:extLst>
            <c:ext xmlns:c16="http://schemas.microsoft.com/office/drawing/2014/chart" uri="{C3380CC4-5D6E-409C-BE32-E72D297353CC}">
              <c16:uniqueId val="{00000000-F897-459D-BE29-F10812CB31C2}"/>
            </c:ext>
          </c:extLst>
        </c:ser>
        <c:dLbls>
          <c:showLegendKey val="0"/>
          <c:showVal val="0"/>
          <c:showCatName val="0"/>
          <c:showSerName val="0"/>
          <c:showPercent val="0"/>
          <c:showBubbleSize val="0"/>
        </c:dLbls>
        <c:axId val="2079931024"/>
        <c:axId val="2079931856"/>
      </c:scatterChart>
      <c:valAx>
        <c:axId val="2079931024"/>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1"/>
                  <a:t>Savings Rate</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931856"/>
        <c:crosses val="autoZero"/>
        <c:crossBetween val="midCat"/>
      </c:valAx>
      <c:valAx>
        <c:axId val="2079931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1"/>
                  <a:t>Shortfall</a:t>
                </a:r>
              </a:p>
            </c:rich>
          </c:tx>
          <c:layout>
            <c:manualLayout>
              <c:xMode val="edge"/>
              <c:yMode val="edge"/>
              <c:x val="2.6622296173044926E-2"/>
              <c:y val="0.37484225646579278"/>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931024"/>
        <c:crosses val="autoZero"/>
        <c:crossBetween val="midCat"/>
        <c:dispUnits>
          <c:builtInUnit val="thousands"/>
          <c:dispUnitsLbl>
            <c:layout>
              <c:manualLayout>
                <c:xMode val="edge"/>
                <c:yMode val="edge"/>
                <c:x val="8.8888888888888892E-2"/>
                <c:y val="0.41245370370370371"/>
              </c:manualLayout>
            </c:layout>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Thousands</a:t>
                  </a:r>
                </a:p>
              </c:rich>
            </c:tx>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spPr>
            <a:solidFill>
              <a:schemeClr val="accent1"/>
            </a:solidFill>
            <a:ln/>
            <a:effectLst/>
            <a:sp3d/>
          </c:spPr>
          <c:val>
            <c:numRef>
              <c:f>Model!$BL$44:$BL$56</c:f>
              <c:numCache>
                <c:formatCode>0%</c:formatCode>
                <c:ptCount val="13"/>
                <c:pt idx="0" formatCode="&quot;$&quot;#,##0">
                  <c:v>393358.52297310706</c:v>
                </c:pt>
                <c:pt idx="1">
                  <c:v>0</c:v>
                </c:pt>
                <c:pt idx="2">
                  <c:v>0.05</c:v>
                </c:pt>
                <c:pt idx="3">
                  <c:v>0.1</c:v>
                </c:pt>
                <c:pt idx="4">
                  <c:v>0.15</c:v>
                </c:pt>
                <c:pt idx="5">
                  <c:v>0.2</c:v>
                </c:pt>
                <c:pt idx="6">
                  <c:v>0.25</c:v>
                </c:pt>
                <c:pt idx="7">
                  <c:v>0.3</c:v>
                </c:pt>
                <c:pt idx="8">
                  <c:v>0.35</c:v>
                </c:pt>
                <c:pt idx="9">
                  <c:v>0.4</c:v>
                </c:pt>
                <c:pt idx="10">
                  <c:v>0.45</c:v>
                </c:pt>
                <c:pt idx="11">
                  <c:v>0.5</c:v>
                </c:pt>
                <c:pt idx="12">
                  <c:v>0.55000000000000004</c:v>
                </c:pt>
              </c:numCache>
            </c:numRef>
          </c:val>
          <c:extLst>
            <c:ext xmlns:c16="http://schemas.microsoft.com/office/drawing/2014/chart" uri="{C3380CC4-5D6E-409C-BE32-E72D297353CC}">
              <c16:uniqueId val="{00000000-3531-4EBE-A61B-1ED50C5B800F}"/>
            </c:ext>
          </c:extLst>
        </c:ser>
        <c:ser>
          <c:idx val="1"/>
          <c:order val="1"/>
          <c:spPr>
            <a:solidFill>
              <a:schemeClr val="accent2"/>
            </a:solidFill>
            <a:ln/>
            <a:effectLst/>
            <a:sp3d/>
          </c:spPr>
          <c:val>
            <c:numRef>
              <c:f>Model!$BM$44:$BM$56</c:f>
              <c:numCache>
                <c:formatCode>"$"#,##0</c:formatCode>
                <c:ptCount val="13"/>
                <c:pt idx="0" formatCode="0%">
                  <c:v>0</c:v>
                </c:pt>
                <c:pt idx="1">
                  <c:v>-7598511.4800119363</c:v>
                </c:pt>
                <c:pt idx="2">
                  <c:v>-6163102.9362449404</c:v>
                </c:pt>
                <c:pt idx="3">
                  <c:v>-4861027.0834995992</c:v>
                </c:pt>
                <c:pt idx="4">
                  <c:v>-3680539.3134126063</c:v>
                </c:pt>
                <c:pt idx="5">
                  <c:v>-2610921.001767775</c:v>
                </c:pt>
                <c:pt idx="6">
                  <c:v>-1642390.1585380058</c:v>
                </c:pt>
                <c:pt idx="7">
                  <c:v>-766019.82558027201</c:v>
                </c:pt>
                <c:pt idx="8">
                  <c:v>26336.445446000434</c:v>
                </c:pt>
                <c:pt idx="9">
                  <c:v>742112.64536614961</c:v>
                </c:pt>
                <c:pt idx="10">
                  <c:v>1388092.4482283092</c:v>
                </c:pt>
                <c:pt idx="11">
                  <c:v>1970465.9509691154</c:v>
                </c:pt>
                <c:pt idx="12">
                  <c:v>2494881.4787614117</c:v>
                </c:pt>
              </c:numCache>
            </c:numRef>
          </c:val>
          <c:extLst>
            <c:ext xmlns:c16="http://schemas.microsoft.com/office/drawing/2014/chart" uri="{C3380CC4-5D6E-409C-BE32-E72D297353CC}">
              <c16:uniqueId val="{00000001-3531-4EBE-A61B-1ED50C5B800F}"/>
            </c:ext>
          </c:extLst>
        </c:ser>
        <c:ser>
          <c:idx val="2"/>
          <c:order val="2"/>
          <c:spPr>
            <a:solidFill>
              <a:schemeClr val="accent3"/>
            </a:solidFill>
            <a:ln/>
            <a:effectLst/>
            <a:sp3d/>
          </c:spPr>
          <c:val>
            <c:numRef>
              <c:f>Model!$BN$44:$BN$56</c:f>
              <c:numCache>
                <c:formatCode>"$"#,##0</c:formatCode>
                <c:ptCount val="13"/>
                <c:pt idx="0" formatCode="0.00%">
                  <c:v>0.05</c:v>
                </c:pt>
                <c:pt idx="1">
                  <c:v>-5174706.6452833591</c:v>
                </c:pt>
                <c:pt idx="2">
                  <c:v>-3964865.2135652727</c:v>
                </c:pt>
                <c:pt idx="3">
                  <c:v>-2868481.7344447733</c:v>
                </c:pt>
                <c:pt idx="4">
                  <c:v>-1875548.0003404873</c:v>
                </c:pt>
                <c:pt idx="5">
                  <c:v>-976930.54730194586</c:v>
                </c:pt>
                <c:pt idx="6">
                  <c:v>-164294.42224077345</c:v>
                </c:pt>
                <c:pt idx="7">
                  <c:v>569966.43250957271</c:v>
                </c:pt>
                <c:pt idx="8">
                  <c:v>1232792.7481678899</c:v>
                </c:pt>
                <c:pt idx="9">
                  <c:v>1830517.9740387253</c:v>
                </c:pt>
                <c:pt idx="10">
                  <c:v>2368921.2749300352</c:v>
                </c:pt>
                <c:pt idx="11">
                  <c:v>2853275.917867824</c:v>
                </c:pt>
                <c:pt idx="12">
                  <c:v>3288393.4470804459</c:v>
                </c:pt>
              </c:numCache>
            </c:numRef>
          </c:val>
          <c:extLst>
            <c:ext xmlns:c16="http://schemas.microsoft.com/office/drawing/2014/chart" uri="{C3380CC4-5D6E-409C-BE32-E72D297353CC}">
              <c16:uniqueId val="{00000002-3531-4EBE-A61B-1ED50C5B800F}"/>
            </c:ext>
          </c:extLst>
        </c:ser>
        <c:ser>
          <c:idx val="3"/>
          <c:order val="3"/>
          <c:spPr>
            <a:solidFill>
              <a:schemeClr val="accent4"/>
            </a:solidFill>
            <a:ln/>
            <a:effectLst/>
            <a:sp3d/>
          </c:spPr>
          <c:val>
            <c:numRef>
              <c:f>Model!$BO$44:$BO$56</c:f>
              <c:numCache>
                <c:formatCode>"$"#,##0</c:formatCode>
                <c:ptCount val="13"/>
                <c:pt idx="0" formatCode="0%">
                  <c:v>0.1</c:v>
                </c:pt>
                <c:pt idx="1">
                  <c:v>-3132503.8096110616</c:v>
                </c:pt>
                <c:pt idx="2">
                  <c:v>-2114596.7149661426</c:v>
                </c:pt>
                <c:pt idx="3">
                  <c:v>-1193211.5468325233</c:v>
                </c:pt>
                <c:pt idx="4">
                  <c:v>-359820.49919355614</c:v>
                </c:pt>
                <c:pt idx="5">
                  <c:v>393358.52297310706</c:v>
                </c:pt>
                <c:pt idx="6">
                  <c:v>1073426.9335119934</c:v>
                </c:pt>
                <c:pt idx="7">
                  <c:v>1686864.8443054622</c:v>
                </c:pt>
                <c:pt idx="8">
                  <c:v>2239585.2820201763</c:v>
                </c:pt>
                <c:pt idx="9">
                  <c:v>2736983.6886878125</c:v>
                </c:pt>
                <c:pt idx="10">
                  <c:v>3183983.1141435714</c:v>
                </c:pt>
                <c:pt idx="11">
                  <c:v>3585075.4733174639</c:v>
                </c:pt>
                <c:pt idx="12">
                  <c:v>3944359.2093226542</c:v>
                </c:pt>
              </c:numCache>
            </c:numRef>
          </c:val>
          <c:extLst>
            <c:ext xmlns:c16="http://schemas.microsoft.com/office/drawing/2014/chart" uri="{C3380CC4-5D6E-409C-BE32-E72D297353CC}">
              <c16:uniqueId val="{00000003-3531-4EBE-A61B-1ED50C5B800F}"/>
            </c:ext>
          </c:extLst>
        </c:ser>
        <c:ser>
          <c:idx val="4"/>
          <c:order val="4"/>
          <c:spPr>
            <a:solidFill>
              <a:schemeClr val="accent5"/>
            </a:solidFill>
            <a:ln/>
            <a:effectLst/>
            <a:sp3d/>
          </c:spPr>
          <c:val>
            <c:numRef>
              <c:f>Model!$BP$44:$BP$56</c:f>
              <c:numCache>
                <c:formatCode>"$"#,##0</c:formatCode>
                <c:ptCount val="13"/>
                <c:pt idx="0" formatCode="0.00%">
                  <c:v>0.15</c:v>
                </c:pt>
                <c:pt idx="1">
                  <c:v>-1414988.5416853693</c:v>
                </c:pt>
                <c:pt idx="2">
                  <c:v>-560356.50771641696</c:v>
                </c:pt>
                <c:pt idx="3">
                  <c:v>212184.23060669401</c:v>
                </c:pt>
                <c:pt idx="4">
                  <c:v>909899.47857425385</c:v>
                </c:pt>
                <c:pt idx="5">
                  <c:v>1539419.3970161187</c:v>
                </c:pt>
                <c:pt idx="6">
                  <c:v>2106793.9662537016</c:v>
                </c:pt>
                <c:pt idx="7">
                  <c:v>2617543.626032549</c:v>
                </c:pt>
                <c:pt idx="8">
                  <c:v>3076705.5087121753</c:v>
                </c:pt>
                <c:pt idx="9">
                  <c:v>3488875.6471779142</c:v>
                </c:pt>
                <c:pt idx="10">
                  <c:v>3858247.5061636264</c:v>
                </c:pt>
                <c:pt idx="11">
                  <c:v>4188647.1556977881</c:v>
                </c:pt>
                <c:pt idx="12">
                  <c:v>4483565.3779505286</c:v>
                </c:pt>
              </c:numCache>
            </c:numRef>
          </c:val>
          <c:extLst>
            <c:ext xmlns:c16="http://schemas.microsoft.com/office/drawing/2014/chart" uri="{C3380CC4-5D6E-409C-BE32-E72D297353CC}">
              <c16:uniqueId val="{00000004-3531-4EBE-A61B-1ED50C5B800F}"/>
            </c:ext>
          </c:extLst>
        </c:ser>
        <c:ser>
          <c:idx val="5"/>
          <c:order val="5"/>
          <c:spPr>
            <a:solidFill>
              <a:schemeClr val="accent6"/>
            </a:solidFill>
            <a:ln/>
            <a:effectLst/>
            <a:sp3d/>
          </c:spPr>
          <c:val>
            <c:numRef>
              <c:f>Model!$BQ$44:$BQ$56</c:f>
              <c:numCache>
                <c:formatCode>"$"#,##0</c:formatCode>
                <c:ptCount val="13"/>
                <c:pt idx="0" formatCode="0%">
                  <c:v>0.2</c:v>
                </c:pt>
                <c:pt idx="1">
                  <c:v>26336.445446000434</c:v>
                </c:pt>
                <c:pt idx="2">
                  <c:v>742112.64536614961</c:v>
                </c:pt>
                <c:pt idx="3">
                  <c:v>1388092.4482283092</c:v>
                </c:pt>
                <c:pt idx="4">
                  <c:v>1970465.9509691154</c:v>
                </c:pt>
                <c:pt idx="5">
                  <c:v>2494881.4787614117</c:v>
                </c:pt>
                <c:pt idx="6">
                  <c:v>2966492.8827830926</c:v>
                </c:pt>
                <c:pt idx="7">
                  <c:v>3390002.7205275558</c:v>
                </c:pt>
                <c:pt idx="8">
                  <c:v>3769701.675269301</c:v>
                </c:pt>
                <c:pt idx="9">
                  <c:v>4109504.5406413795</c:v>
                </c:pt>
                <c:pt idx="10">
                  <c:v>4412983.0682351217</c:v>
                </c:pt>
                <c:pt idx="11">
                  <c:v>4683395.9504770217</c:v>
                </c:pt>
                <c:pt idx="12">
                  <c:v>4923716.1875712229</c:v>
                </c:pt>
              </c:numCache>
            </c:numRef>
          </c:val>
          <c:extLst>
            <c:ext xmlns:c16="http://schemas.microsoft.com/office/drawing/2014/chart" uri="{C3380CC4-5D6E-409C-BE32-E72D297353CC}">
              <c16:uniqueId val="{00000005-3531-4EBE-A61B-1ED50C5B800F}"/>
            </c:ext>
          </c:extLst>
        </c:ser>
        <c:ser>
          <c:idx val="6"/>
          <c:order val="6"/>
          <c:spPr>
            <a:solidFill>
              <a:schemeClr val="accent1">
                <a:lumMod val="60000"/>
              </a:schemeClr>
            </a:solidFill>
            <a:ln/>
            <a:effectLst/>
            <a:sp3d/>
          </c:spPr>
          <c:val>
            <c:numRef>
              <c:f>Model!$BR$44:$BR$56</c:f>
              <c:numCache>
                <c:formatCode>"$"#,##0</c:formatCode>
                <c:ptCount val="13"/>
                <c:pt idx="0" formatCode="0.00%">
                  <c:v>0.25</c:v>
                </c:pt>
                <c:pt idx="1">
                  <c:v>1232792.7481678899</c:v>
                </c:pt>
                <c:pt idx="2">
                  <c:v>1830517.9740387253</c:v>
                </c:pt>
                <c:pt idx="3">
                  <c:v>2368921.2749300352</c:v>
                </c:pt>
                <c:pt idx="4">
                  <c:v>2853275.917867824</c:v>
                </c:pt>
                <c:pt idx="5">
                  <c:v>3288393.4470804459</c:v>
                </c:pt>
                <c:pt idx="6">
                  <c:v>3678664.011965828</c:v>
                </c:pt>
                <c:pt idx="7">
                  <c:v>4028093.1814087839</c:v>
                </c:pt>
                <c:pt idx="8">
                  <c:v>4340335.5491379965</c:v>
                </c:pt>
                <c:pt idx="9">
                  <c:v>4618725.408578665</c:v>
                </c:pt>
                <c:pt idx="10">
                  <c:v>4866304.7516609868</c:v>
                </c:pt>
                <c:pt idx="11">
                  <c:v>5085848.8240980208</c:v>
                </c:pt>
                <c:pt idx="12">
                  <c:v>5279889.4495758442</c:v>
                </c:pt>
              </c:numCache>
            </c:numRef>
          </c:val>
          <c:extLst>
            <c:ext xmlns:c16="http://schemas.microsoft.com/office/drawing/2014/chart" uri="{C3380CC4-5D6E-409C-BE32-E72D297353CC}">
              <c16:uniqueId val="{00000006-3531-4EBE-A61B-1ED50C5B800F}"/>
            </c:ext>
          </c:extLst>
        </c:ser>
        <c:ser>
          <c:idx val="7"/>
          <c:order val="7"/>
          <c:spPr>
            <a:solidFill>
              <a:schemeClr val="accent2">
                <a:lumMod val="60000"/>
              </a:schemeClr>
            </a:solidFill>
            <a:ln/>
            <a:effectLst/>
            <a:sp3d/>
          </c:spPr>
          <c:val>
            <c:numRef>
              <c:f>Model!$BS$44:$BS$56</c:f>
              <c:numCache>
                <c:formatCode>"$"#,##0</c:formatCode>
                <c:ptCount val="13"/>
                <c:pt idx="0" formatCode="0%">
                  <c:v>0.3</c:v>
                </c:pt>
                <c:pt idx="1">
                  <c:v>2239585.2820201763</c:v>
                </c:pt>
                <c:pt idx="2">
                  <c:v>2736983.6886878125</c:v>
                </c:pt>
                <c:pt idx="3">
                  <c:v>3183983.1141435714</c:v>
                </c:pt>
                <c:pt idx="4">
                  <c:v>3585075.4733174639</c:v>
                </c:pt>
                <c:pt idx="5">
                  <c:v>3944359.2093226542</c:v>
                </c:pt>
                <c:pt idx="6">
                  <c:v>4265573.6739623034</c:v>
                </c:pt>
                <c:pt idx="7">
                  <c:v>4552130.5104517164</c:v>
                </c:pt>
                <c:pt idx="8">
                  <c:v>4807142.2986158095</c:v>
                </c:pt>
                <c:pt idx="9">
                  <c:v>5033448.7003795542</c:v>
                </c:pt>
                <c:pt idx="10">
                  <c:v>5233640.3228452299</c:v>
                </c:pt>
                <c:pt idx="11">
                  <c:v>5410080.4974814588</c:v>
                </c:pt>
                <c:pt idx="12">
                  <c:v>5564925.1567879189</c:v>
                </c:pt>
              </c:numCache>
            </c:numRef>
          </c:val>
          <c:extLst>
            <c:ext xmlns:c16="http://schemas.microsoft.com/office/drawing/2014/chart" uri="{C3380CC4-5D6E-409C-BE32-E72D297353CC}">
              <c16:uniqueId val="{00000007-3531-4EBE-A61B-1ED50C5B800F}"/>
            </c:ext>
          </c:extLst>
        </c:ser>
        <c:ser>
          <c:idx val="8"/>
          <c:order val="8"/>
          <c:spPr>
            <a:solidFill>
              <a:schemeClr val="accent3">
                <a:lumMod val="60000"/>
              </a:schemeClr>
            </a:solidFill>
            <a:ln/>
            <a:effectLst/>
            <a:sp3d/>
          </c:spPr>
          <c:val>
            <c:numRef>
              <c:f>Model!$BT$44:$BT$56</c:f>
              <c:numCache>
                <c:formatCode>"$"#,##0</c:formatCode>
                <c:ptCount val="13"/>
                <c:pt idx="0" formatCode="0.00%">
                  <c:v>0.35</c:v>
                </c:pt>
                <c:pt idx="1">
                  <c:v>3076705.5087121753</c:v>
                </c:pt>
                <c:pt idx="2">
                  <c:v>3488875.6471779142</c:v>
                </c:pt>
                <c:pt idx="3">
                  <c:v>3858247.5061636264</c:v>
                </c:pt>
                <c:pt idx="4">
                  <c:v>4188647.1556977881</c:v>
                </c:pt>
                <c:pt idx="5">
                  <c:v>4483565.3779505286</c:v>
                </c:pt>
                <c:pt idx="6">
                  <c:v>4746186.9736748589</c:v>
                </c:pt>
                <c:pt idx="7">
                  <c:v>4979417.5114815719</c:v>
                </c:pt>
                <c:pt idx="8">
                  <c:v>5185907.7422039071</c:v>
                </c:pt>
                <c:pt idx="9">
                  <c:v>5368075.8814112525</c:v>
                </c:pt>
                <c:pt idx="10">
                  <c:v>5528127.9455842208</c:v>
                </c:pt>
                <c:pt idx="11">
                  <c:v>5668076.3114156881</c:v>
                </c:pt>
                <c:pt idx="12">
                  <c:v>5789756.653033521</c:v>
                </c:pt>
              </c:numCache>
            </c:numRef>
          </c:val>
          <c:extLst>
            <c:ext xmlns:c16="http://schemas.microsoft.com/office/drawing/2014/chart" uri="{C3380CC4-5D6E-409C-BE32-E72D297353CC}">
              <c16:uniqueId val="{00000008-3531-4EBE-A61B-1ED50C5B800F}"/>
            </c:ext>
          </c:extLst>
        </c:ser>
        <c:ser>
          <c:idx val="9"/>
          <c:order val="9"/>
          <c:spPr>
            <a:solidFill>
              <a:schemeClr val="accent4">
                <a:lumMod val="60000"/>
              </a:schemeClr>
            </a:solidFill>
            <a:ln/>
            <a:effectLst/>
            <a:sp3d/>
          </c:spPr>
          <c:val>
            <c:numRef>
              <c:f>Model!$BU$44:$BU$56</c:f>
              <c:numCache>
                <c:formatCode>"$"#,##0</c:formatCode>
                <c:ptCount val="13"/>
                <c:pt idx="0" formatCode="0%">
                  <c:v>0.4</c:v>
                </c:pt>
                <c:pt idx="1">
                  <c:v>3769701.675269301</c:v>
                </c:pt>
                <c:pt idx="2">
                  <c:v>4109504.5406413795</c:v>
                </c:pt>
                <c:pt idx="3">
                  <c:v>4412983.0682351217</c:v>
                </c:pt>
                <c:pt idx="4">
                  <c:v>4683395.9504770217</c:v>
                </c:pt>
                <c:pt idx="5">
                  <c:v>4923716.1875712229</c:v>
                </c:pt>
                <c:pt idx="6">
                  <c:v>5136656.0658340324</c:v>
                </c:pt>
                <c:pt idx="7">
                  <c:v>5324689.9551200205</c:v>
                </c:pt>
                <c:pt idx="8">
                  <c:v>5490075.1150920112</c:v>
                </c:pt>
                <c:pt idx="9">
                  <c:v>5634870.6836779015</c:v>
                </c:pt>
                <c:pt idx="10">
                  <c:v>5760955.0060547348</c:v>
                </c:pt>
                <c:pt idx="11">
                  <c:v>5870041.4487860687</c:v>
                </c:pt>
                <c:pt idx="12">
                  <c:v>5963692.8312023599</c:v>
                </c:pt>
              </c:numCache>
            </c:numRef>
          </c:val>
          <c:extLst>
            <c:ext xmlns:c16="http://schemas.microsoft.com/office/drawing/2014/chart" uri="{C3380CC4-5D6E-409C-BE32-E72D297353CC}">
              <c16:uniqueId val="{00000009-3531-4EBE-A61B-1ED50C5B800F}"/>
            </c:ext>
          </c:extLst>
        </c:ser>
        <c:ser>
          <c:idx val="10"/>
          <c:order val="10"/>
          <c:spPr>
            <a:solidFill>
              <a:schemeClr val="accent5">
                <a:lumMod val="60000"/>
              </a:schemeClr>
            </a:solidFill>
            <a:ln/>
            <a:effectLst/>
            <a:sp3d/>
          </c:spPr>
          <c:val>
            <c:numRef>
              <c:f>Model!$BV$44:$BV$56</c:f>
              <c:numCache>
                <c:formatCode>"$"#,##0</c:formatCode>
                <c:ptCount val="13"/>
                <c:pt idx="0" formatCode="0.00%">
                  <c:v>0.45</c:v>
                </c:pt>
                <c:pt idx="1">
                  <c:v>4340335.5491379965</c:v>
                </c:pt>
                <c:pt idx="2">
                  <c:v>4618725.408578665</c:v>
                </c:pt>
                <c:pt idx="3">
                  <c:v>4866304.7516609868</c:v>
                </c:pt>
                <c:pt idx="4">
                  <c:v>5085848.8240980208</c:v>
                </c:pt>
                <c:pt idx="5">
                  <c:v>5279889.4495758442</c:v>
                </c:pt>
                <c:pt idx="6">
                  <c:v>5450736.3169457326</c:v>
                </c:pt>
                <c:pt idx="7">
                  <c:v>5600496.4077266846</c:v>
                </c:pt>
                <c:pt idx="8">
                  <c:v>5731091.7258842317</c:v>
                </c:pt>
                <c:pt idx="9">
                  <c:v>5844275.4778255085</c:v>
                </c:pt>
                <c:pt idx="10">
                  <c:v>5941646.8377296505</c:v>
                </c:pt>
                <c:pt idx="11">
                  <c:v>6024664.421613764</c:v>
                </c:pt>
                <c:pt idx="12">
                  <c:v>6094658.5828247508</c:v>
                </c:pt>
              </c:numCache>
            </c:numRef>
          </c:val>
          <c:extLst>
            <c:ext xmlns:c16="http://schemas.microsoft.com/office/drawing/2014/chart" uri="{C3380CC4-5D6E-409C-BE32-E72D297353CC}">
              <c16:uniqueId val="{0000000A-3531-4EBE-A61B-1ED50C5B800F}"/>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50931984"/>
        <c:axId val="50934896"/>
        <c:axId val="1534513616"/>
      </c:surface3DChart>
      <c:catAx>
        <c:axId val="5093198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896"/>
        <c:crosses val="autoZero"/>
        <c:auto val="1"/>
        <c:lblAlgn val="ctr"/>
        <c:lblOffset val="100"/>
        <c:noMultiLvlLbl val="0"/>
      </c:catAx>
      <c:valAx>
        <c:axId val="509348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1984"/>
        <c:crosses val="autoZero"/>
        <c:crossBetween val="midCat"/>
      </c:valAx>
      <c:serAx>
        <c:axId val="153451361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896"/>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304800</xdr:colOff>
          <xdr:row>5</xdr:row>
          <xdr:rowOff>88900</xdr:rowOff>
        </xdr:from>
        <xdr:to>
          <xdr:col>12</xdr:col>
          <xdr:colOff>304800</xdr:colOff>
          <xdr:row>7</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xdr:twoCellAnchor>
    <xdr:from>
      <xdr:col>0</xdr:col>
      <xdr:colOff>12700</xdr:colOff>
      <xdr:row>2</xdr:row>
      <xdr:rowOff>12700</xdr:rowOff>
    </xdr:from>
    <xdr:to>
      <xdr:col>9</xdr:col>
      <xdr:colOff>0</xdr:colOff>
      <xdr:row>121</xdr:row>
      <xdr:rowOff>139700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2700" y="381000"/>
          <a:ext cx="5473700" cy="22040850"/>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800" b="1"/>
        </a:p>
        <a:p>
          <a:r>
            <a:rPr lang="en-US" sz="1800" b="1"/>
            <a:t>Introduction</a:t>
          </a:r>
        </a:p>
        <a:p>
          <a:endParaRPr lang="en-US" sz="1100"/>
        </a:p>
        <a:p>
          <a:pPr marL="0" marR="0" lvl="0" indent="0" defTabSz="914400" eaLnBrk="1" fontAlgn="auto" latinLnBrk="0" hangingPunct="1">
            <a:lnSpc>
              <a:spcPct val="100000"/>
            </a:lnSpc>
            <a:spcBef>
              <a:spcPts val="0"/>
            </a:spcBef>
            <a:spcAft>
              <a:spcPts val="0"/>
            </a:spcAft>
            <a:buClrTx/>
            <a:buSzTx/>
            <a:buFontTx/>
            <a:buNone/>
            <a:tabLst/>
            <a:defRPr/>
          </a:pPr>
          <a:r>
            <a:rPr lang="en-US" sz="1200"/>
            <a:t>This model can be used</a:t>
          </a:r>
          <a:r>
            <a:rPr lang="en-US" sz="1200" baseline="0"/>
            <a:t> by a financial planner to make reasonable retirement financial plan for the client. </a:t>
          </a:r>
          <a:r>
            <a:rPr lang="en-US" sz="1200" baseline="0">
              <a:solidFill>
                <a:schemeClr val="dk1"/>
              </a:solidFill>
              <a:effectLst/>
              <a:latin typeface="+mn-lt"/>
              <a:ea typeface="+mn-ea"/>
              <a:cs typeface="+mn-cs"/>
            </a:rPr>
            <a:t>It is designed to consider three differnet scenarios: Constant, Random-CAGR and Random-Trials. </a:t>
          </a:r>
          <a:r>
            <a:rPr lang="en-US" sz="1200" baseline="0"/>
            <a:t>The moel will track and analyze the balance in client's retirement account through inputing those basic information like client's anticipated retirement age, current salary, salary growth rate, saving rate, asset allocations, inflation rate and son on. The target of the model is to figure out a required saving rate so that it can leave a non-negative balance (bequest) in the client's retirement account.</a:t>
          </a:r>
        </a:p>
        <a:p>
          <a:endParaRPr lang="en-US" sz="1200" baseline="0"/>
        </a:p>
        <a:p>
          <a:endParaRPr lang="en-US" sz="1800" b="1" baseline="0"/>
        </a:p>
        <a:p>
          <a:r>
            <a:rPr lang="en-US" sz="1800" b="1" baseline="0"/>
            <a:t>Using the Model</a:t>
          </a:r>
        </a:p>
        <a:p>
          <a:endParaRPr lang="en-US" sz="1800" b="1" baseline="0"/>
        </a:p>
        <a:p>
          <a:r>
            <a:rPr lang="en-US" sz="1200" b="1" u="sng" baseline="0"/>
            <a:t>Steps to use this model:</a:t>
          </a:r>
        </a:p>
        <a:p>
          <a:r>
            <a:rPr lang="en-US" sz="1200" b="0" u="none" baseline="0"/>
            <a:t>1.Go to the Model worksheet.</a:t>
          </a:r>
        </a:p>
        <a:p>
          <a:r>
            <a:rPr lang="en-US" sz="1200" b="0" u="none" baseline="0"/>
            <a:t>2.The user should input the following information,</a:t>
          </a:r>
        </a:p>
        <a:p>
          <a:pPr marL="171450" indent="-171450">
            <a:buFont typeface="Wingdings" panose="05000000000000000000" pitchFamily="2" charset="2"/>
            <a:buChar char="Ø"/>
          </a:pPr>
          <a:r>
            <a:rPr lang="en-US" sz="1200" b="0" u="none" baseline="0"/>
            <a:t>Basic information includes the clien's name and address. </a:t>
          </a:r>
        </a:p>
        <a:p>
          <a:pPr marL="171450" indent="-171450">
            <a:buFont typeface="Wingdings" panose="05000000000000000000" pitchFamily="2" charset="2"/>
            <a:buChar char="Ø"/>
          </a:pPr>
          <a:r>
            <a:rPr lang="en-US" sz="1200" b="0" u="none" baseline="0"/>
            <a:t>Client characteristics includes current age, current salary, saving rate and retirement account balance.</a:t>
          </a:r>
        </a:p>
        <a:p>
          <a:pPr marL="171450" indent="-171450">
            <a:buFont typeface="Wingdings" panose="05000000000000000000" pitchFamily="2" charset="2"/>
            <a:buChar char="Ø"/>
          </a:pPr>
          <a:r>
            <a:rPr lang="en-US" sz="1200" b="0" u="none" baseline="0"/>
            <a:t>Retirement planning inputs: anticipated retiremnet age, anticipated lifespan, post-retirement annual need for living, target bequest, social security income, post-retirement part time job salary and nursing home costs.</a:t>
          </a:r>
        </a:p>
        <a:p>
          <a:pPr marL="171450" indent="-171450">
            <a:buFont typeface="Wingdings" panose="05000000000000000000" pitchFamily="2" charset="2"/>
            <a:buChar char="Ø"/>
          </a:pPr>
          <a:r>
            <a:rPr lang="en-US" sz="1200" b="0" u="none" baseline="0"/>
            <a:t>Asset allocations, expected returns and standard deviations.</a:t>
          </a:r>
        </a:p>
        <a:p>
          <a:pPr marL="171450" indent="-171450">
            <a:buFont typeface="Wingdings" panose="05000000000000000000" pitchFamily="2" charset="2"/>
            <a:buChar char="Ø"/>
          </a:pPr>
          <a:r>
            <a:rPr lang="en-US" sz="1200" b="0" u="none" baseline="0"/>
            <a:t>Salary growth rate and inflation rate.</a:t>
          </a:r>
        </a:p>
        <a:p>
          <a:pPr marL="0" indent="0">
            <a:buFont typeface="Wingdings" panose="05000000000000000000" pitchFamily="2" charset="2"/>
            <a:buNone/>
          </a:pPr>
          <a:r>
            <a:rPr lang="en-US" sz="1200" b="0" u="none" baseline="0"/>
            <a:t>3.The user is allowed to select three scenarios (</a:t>
          </a:r>
          <a:r>
            <a:rPr lang="en-US" sz="1200" baseline="0">
              <a:solidFill>
                <a:schemeClr val="dk1"/>
              </a:solidFill>
              <a:effectLst/>
              <a:latin typeface="+mn-lt"/>
              <a:ea typeface="+mn-ea"/>
              <a:cs typeface="+mn-cs"/>
            </a:rPr>
            <a:t>Constant, Random-CAGR and Random-Trials) by clicking on the switch in cell $J$23. When the user swith to the Random-Trials scenarios, the Monte Carlo Simulation module will be visable. In this case, the user should input value of random seed (61, 161 or random in this model) as well as number of trials to run and click on the "Run Trials" or "Another  Trial" button.</a:t>
          </a:r>
        </a:p>
        <a:p>
          <a:pPr marL="0" indent="0">
            <a:buFont typeface="Wingdings" panose="05000000000000000000" pitchFamily="2" charset="2"/>
            <a:buNone/>
          </a:pPr>
          <a:r>
            <a:rPr lang="en-US" sz="1200" b="0" u="none" baseline="0">
              <a:solidFill>
                <a:schemeClr val="dk1"/>
              </a:solidFill>
              <a:effectLst/>
              <a:latin typeface="+mn-lt"/>
              <a:ea typeface="+mn-ea"/>
              <a:cs typeface="+mn-cs"/>
            </a:rPr>
            <a:t>4.After the user select the decided scenario, click on the "Calculate Required Saving Rate" to find a value to achieve the target.</a:t>
          </a:r>
        </a:p>
        <a:p>
          <a:pPr marL="0" indent="0">
            <a:buFont typeface="Wingdings" panose="05000000000000000000" pitchFamily="2" charset="2"/>
            <a:buNone/>
          </a:pPr>
          <a:endParaRPr lang="en-US" sz="1200" b="0" u="none" baseline="0">
            <a:solidFill>
              <a:schemeClr val="dk1"/>
            </a:solidFill>
            <a:effectLst/>
            <a:latin typeface="+mn-lt"/>
            <a:ea typeface="+mn-ea"/>
            <a:cs typeface="+mn-cs"/>
          </a:endParaRPr>
        </a:p>
        <a:p>
          <a:pPr marL="0" indent="0">
            <a:buFont typeface="Wingdings" panose="05000000000000000000" pitchFamily="2" charset="2"/>
            <a:buNone/>
          </a:pPr>
          <a:r>
            <a:rPr lang="en-US" sz="1200" b="0" u="none" baseline="0">
              <a:solidFill>
                <a:schemeClr val="dk1"/>
              </a:solidFill>
              <a:effectLst/>
              <a:latin typeface="+mn-lt"/>
              <a:ea typeface="+mn-ea"/>
              <a:cs typeface="+mn-cs"/>
            </a:rPr>
            <a:t>This model provides navigation buttons to bring the user to those selected areas.</a:t>
          </a:r>
        </a:p>
        <a:p>
          <a:pPr marL="0" indent="0">
            <a:buFont typeface="Wingdings" panose="05000000000000000000" pitchFamily="2" charset="2"/>
            <a:buNone/>
          </a:pPr>
          <a:r>
            <a:rPr lang="en-US" sz="1200" b="0" u="none" baseline="0">
              <a:solidFill>
                <a:schemeClr val="dk1"/>
              </a:solidFill>
              <a:effectLst/>
              <a:latin typeface="+mn-lt"/>
              <a:ea typeface="+mn-ea"/>
              <a:cs typeface="+mn-cs"/>
            </a:rPr>
            <a:t>This model provides One Plausible Trajectory, Shortfall vs Asset Allocation Graph and Shortfall vs Saving Rate Graph.</a:t>
          </a:r>
        </a:p>
        <a:p>
          <a:pPr marL="0" indent="0">
            <a:buFont typeface="Wingdings" panose="05000000000000000000" pitchFamily="2" charset="2"/>
            <a:buNone/>
          </a:pPr>
          <a:r>
            <a:rPr lang="en-US" sz="1200" b="0" u="none" baseline="0">
              <a:solidFill>
                <a:schemeClr val="dk1"/>
              </a:solidFill>
              <a:effectLst/>
              <a:latin typeface="+mn-lt"/>
              <a:ea typeface="+mn-ea"/>
              <a:cs typeface="+mn-cs"/>
            </a:rPr>
            <a:t>In the Random-Trials scenario, the c</a:t>
          </a:r>
          <a:r>
            <a:rPr lang="en-US" sz="1200" baseline="0">
              <a:solidFill>
                <a:schemeClr val="dk1"/>
              </a:solidFill>
              <a:effectLst/>
              <a:latin typeface="+mn-lt"/>
              <a:ea typeface="+mn-ea"/>
              <a:cs typeface="+mn-cs"/>
            </a:rPr>
            <a:t>ell $J$36 is provided to show the Average Required Saving Rate.</a:t>
          </a:r>
        </a:p>
        <a:p>
          <a:pPr marL="0" indent="0">
            <a:buFont typeface="Wingdings" panose="05000000000000000000" pitchFamily="2" charset="2"/>
            <a:buNone/>
          </a:pPr>
          <a:r>
            <a:rPr lang="en-US" sz="1200" baseline="0">
              <a:solidFill>
                <a:schemeClr val="dk1"/>
              </a:solidFill>
              <a:effectLst/>
              <a:latin typeface="+mn-lt"/>
              <a:ea typeface="+mn-ea"/>
              <a:cs typeface="+mn-cs"/>
            </a:rPr>
            <a:t>T</a:t>
          </a:r>
          <a:r>
            <a:rPr lang="en-US" altLang="zh-CN" sz="1200" baseline="0">
              <a:solidFill>
                <a:schemeClr val="dk1"/>
              </a:solidFill>
              <a:effectLst/>
              <a:latin typeface="+mn-lt"/>
              <a:ea typeface="+mn-ea"/>
              <a:cs typeface="+mn-cs"/>
            </a:rPr>
            <a:t>his model allows the user to determine the optimal asset allocation by using the client's risk aversion parameter as an input. In addition, the user can use the switch in cell $B$49 to control whether borrowing and short selling is allowed.</a:t>
          </a:r>
        </a:p>
        <a:p>
          <a:pPr marL="0" indent="0">
            <a:buFont typeface="Wingdings" panose="05000000000000000000" pitchFamily="2" charset="2"/>
            <a:buNone/>
          </a:pPr>
          <a:r>
            <a:rPr lang="en-US" sz="1200" baseline="0">
              <a:solidFill>
                <a:schemeClr val="dk1"/>
              </a:solidFill>
              <a:effectLst/>
              <a:latin typeface="+mn-lt"/>
              <a:ea typeface="+mn-ea"/>
              <a:cs typeface="+mn-cs"/>
            </a:rPr>
            <a:t>This model provides the user buttons for restoring default inputs, backuping and restoring user inputs.</a:t>
          </a:r>
        </a:p>
        <a:p>
          <a:pPr marL="0" indent="0">
            <a:buFont typeface="Wingdings" panose="05000000000000000000" pitchFamily="2" charset="2"/>
            <a:buNone/>
          </a:pPr>
          <a:endParaRPr lang="en-US" sz="1200" baseline="0">
            <a:solidFill>
              <a:schemeClr val="dk1"/>
            </a:solidFill>
            <a:effectLst/>
            <a:latin typeface="+mn-lt"/>
            <a:ea typeface="+mn-ea"/>
            <a:cs typeface="+mn-cs"/>
          </a:endParaRPr>
        </a:p>
        <a:p>
          <a:pPr marL="0" indent="0">
            <a:buFont typeface="Wingdings" panose="05000000000000000000" pitchFamily="2" charset="2"/>
            <a:buNone/>
          </a:pPr>
          <a:endParaRPr lang="en-US" sz="1200" baseline="0">
            <a:solidFill>
              <a:schemeClr val="dk1"/>
            </a:solidFill>
            <a:effectLst/>
            <a:latin typeface="+mn-lt"/>
            <a:ea typeface="+mn-ea"/>
            <a:cs typeface="+mn-cs"/>
          </a:endParaRPr>
        </a:p>
        <a:p>
          <a:pPr marL="0" indent="0">
            <a:buFont typeface="Wingdings" panose="05000000000000000000" pitchFamily="2" charset="2"/>
            <a:buNone/>
          </a:pPr>
          <a:r>
            <a:rPr lang="en-US" sz="1800" b="1" baseline="0">
              <a:solidFill>
                <a:schemeClr val="dk1"/>
              </a:solidFill>
              <a:effectLst/>
              <a:latin typeface="+mn-lt"/>
              <a:ea typeface="+mn-ea"/>
              <a:cs typeface="+mn-cs"/>
            </a:rPr>
            <a:t>Interpreting the Results</a:t>
          </a:r>
        </a:p>
        <a:p>
          <a:pPr marL="0" indent="0">
            <a:buFont typeface="Wingdings" panose="05000000000000000000" pitchFamily="2" charset="2"/>
            <a:buNone/>
          </a:pPr>
          <a:endParaRPr lang="en-US" sz="1800" b="1" baseline="0">
            <a:solidFill>
              <a:schemeClr val="dk1"/>
            </a:solidFill>
            <a:effectLst/>
            <a:latin typeface="+mn-lt"/>
            <a:ea typeface="+mn-ea"/>
            <a:cs typeface="+mn-cs"/>
          </a:endParaRPr>
        </a:p>
        <a:p>
          <a:pPr marL="0" indent="0">
            <a:buFont typeface="Wingdings" panose="05000000000000000000" pitchFamily="2" charset="2"/>
            <a:buNone/>
          </a:pPr>
          <a:r>
            <a:rPr lang="en-US" sz="1200" baseline="0">
              <a:solidFill>
                <a:schemeClr val="dk1"/>
              </a:solidFill>
              <a:effectLst/>
              <a:latin typeface="+mn-lt"/>
              <a:ea typeface="+mn-ea"/>
              <a:cs typeface="+mn-cs"/>
            </a:rPr>
            <a:t>The target of the model is to figure out a </a:t>
          </a:r>
          <a:r>
            <a:rPr lang="en-US" sz="1200" b="0" baseline="0">
              <a:solidFill>
                <a:schemeClr val="dk1"/>
              </a:solidFill>
              <a:effectLst/>
              <a:latin typeface="+mn-lt"/>
              <a:ea typeface="+mn-ea"/>
              <a:cs typeface="+mn-cs"/>
            </a:rPr>
            <a:t>required saving rate </a:t>
          </a:r>
          <a:r>
            <a:rPr lang="en-US" sz="1200" baseline="0">
              <a:solidFill>
                <a:schemeClr val="dk1"/>
              </a:solidFill>
              <a:effectLst/>
              <a:latin typeface="+mn-lt"/>
              <a:ea typeface="+mn-ea"/>
              <a:cs typeface="+mn-cs"/>
            </a:rPr>
            <a:t>so that it can leave a non-negative balance (bequest) in the client's retirement account.</a:t>
          </a:r>
        </a:p>
        <a:p>
          <a:pPr marL="0" indent="0">
            <a:buFont typeface="Wingdings" panose="05000000000000000000" pitchFamily="2" charset="2"/>
            <a:buNone/>
          </a:pPr>
          <a:endParaRPr lang="en-US" sz="1200" b="1" baseline="0">
            <a:solidFill>
              <a:schemeClr val="dk1"/>
            </a:solidFill>
            <a:effectLst/>
            <a:latin typeface="+mn-lt"/>
            <a:ea typeface="+mn-ea"/>
            <a:cs typeface="+mn-cs"/>
          </a:endParaRPr>
        </a:p>
        <a:p>
          <a:pPr marL="0" indent="0">
            <a:buFont typeface="Wingdings" panose="05000000000000000000" pitchFamily="2" charset="2"/>
            <a:buNone/>
          </a:pPr>
          <a:r>
            <a:rPr lang="en-US" sz="1200" b="1" baseline="0">
              <a:solidFill>
                <a:schemeClr val="dk1"/>
              </a:solidFill>
              <a:effectLst/>
              <a:latin typeface="+mn-lt"/>
              <a:ea typeface="+mn-ea"/>
              <a:cs typeface="+mn-cs"/>
            </a:rPr>
            <a:t>The main results of this financial planning model are shown under the Scenarios module ($I$21) :</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The user could acquire the inflation adjusted target bequest, actual bequest, bequest shortfall and the required saving rate to meet the target. In the Random-Trials scenario, the user </a:t>
          </a:r>
          <a:r>
            <a:rPr lang="en-US" sz="1200" baseline="0">
              <a:solidFill>
                <a:schemeClr val="dk1"/>
              </a:solidFill>
              <a:effectLst/>
              <a:latin typeface="+mn-lt"/>
              <a:ea typeface="+mn-ea"/>
              <a:cs typeface="+mn-cs"/>
            </a:rPr>
            <a:t>can also get the average required saving rate.</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a:effectLst/>
            </a:rPr>
            <a:t>Inflation</a:t>
          </a:r>
          <a:r>
            <a:rPr lang="en-US" sz="1200" baseline="0">
              <a:effectLst/>
            </a:rPr>
            <a:t> adjusted target bequest is the calculated value of target bequest after the user taking future inflation as a consideration.</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aseline="0">
              <a:effectLst/>
            </a:rPr>
            <a:t>Actual bequest is the ending account balance, which equals to the sum of the account balance return and the addition value (Total inflow - Total outflow)</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aseline="0">
              <a:effectLst/>
            </a:rPr>
            <a:t>Bequest shortfall is the difference between the inflation adjusted target bequest and the actual bequest. The user expect it to be negative since a negative shortfall represents that the balance exceeds the amount of money required to achieve the target bequest.</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a:effectLst/>
            </a:rPr>
            <a:t>Required</a:t>
          </a:r>
          <a:r>
            <a:rPr lang="en-US" sz="1200" baseline="0">
              <a:effectLst/>
            </a:rPr>
            <a:t> saving rate is the saving rate to meet the target, which will be suggested to the client. The model used Solver function to find the saving rate that make the bequest shortfall equal to zero. The model designer had recorded this process as a macro.</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800" b="1" baseline="0">
              <a:solidFill>
                <a:schemeClr val="dk1"/>
              </a:solidFill>
              <a:effectLst/>
              <a:latin typeface="+mn-lt"/>
              <a:ea typeface="+mn-ea"/>
              <a:cs typeface="+mn-cs"/>
            </a:rPr>
            <a:t>Technical Details</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8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This model provides the user a switch to select from three scenarios: the Constant Scenario, the Random-CAGR Scenario and the Random-Trials Scenario.</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The randomness in this model derives from three variables: salary growth rate, inflation rate and retirement portfolio return.</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1. In the Constant scenario, these variables above are assumed to be constant. As a result, the salary growth rate, inflation rate and portfolio return are set to be equal to their expected value under this mode.</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However, the value of thses variables will not be equal to their expected value in the real world. The model designer applied other scenarios for this reason.</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2.In the Random-CAGR scenario, the model uses the expected compounded annual growth rates. </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If the returns for n periods are r</a:t>
          </a:r>
          <a:r>
            <a:rPr lang="en-US" sz="800" b="0" baseline="0">
              <a:solidFill>
                <a:schemeClr val="dk1"/>
              </a:solidFill>
              <a:effectLst/>
              <a:latin typeface="+mn-lt"/>
              <a:ea typeface="+mn-ea"/>
              <a:cs typeface="+mn-cs"/>
            </a:rPr>
            <a:t>1</a:t>
          </a:r>
          <a:r>
            <a:rPr lang="en-US" sz="1200" b="0" baseline="0">
              <a:solidFill>
                <a:schemeClr val="dk1"/>
              </a:solidFill>
              <a:effectLst/>
              <a:latin typeface="+mn-lt"/>
              <a:ea typeface="+mn-ea"/>
              <a:cs typeface="+mn-cs"/>
            </a:rPr>
            <a:t>,r</a:t>
          </a:r>
          <a:r>
            <a:rPr lang="en-US" sz="800" b="0" baseline="0">
              <a:solidFill>
                <a:schemeClr val="dk1"/>
              </a:solidFill>
              <a:effectLst/>
              <a:latin typeface="+mn-lt"/>
              <a:ea typeface="+mn-ea"/>
              <a:cs typeface="+mn-cs"/>
            </a:rPr>
            <a:t>2</a:t>
          </a:r>
          <a:r>
            <a:rPr lang="en-US" sz="1200" b="0" baseline="0">
              <a:solidFill>
                <a:schemeClr val="dk1"/>
              </a:solidFill>
              <a:effectLst/>
              <a:latin typeface="+mn-lt"/>
              <a:ea typeface="+mn-ea"/>
              <a:cs typeface="+mn-cs"/>
            </a:rPr>
            <a:t>,r</a:t>
          </a:r>
          <a:r>
            <a:rPr lang="en-US" sz="800" b="0" baseline="0">
              <a:solidFill>
                <a:schemeClr val="dk1"/>
              </a:solidFill>
              <a:effectLst/>
              <a:latin typeface="+mn-lt"/>
              <a:ea typeface="+mn-ea"/>
              <a:cs typeface="+mn-cs"/>
            </a:rPr>
            <a:t>3</a:t>
          </a:r>
          <a:r>
            <a:rPr lang="en-US" sz="1200" b="0" baseline="0">
              <a:solidFill>
                <a:schemeClr val="dk1"/>
              </a:solidFill>
              <a:effectLst/>
              <a:latin typeface="+mn-lt"/>
              <a:ea typeface="+mn-ea"/>
              <a:cs typeface="+mn-cs"/>
            </a:rPr>
            <a:t>...r</a:t>
          </a:r>
          <a:r>
            <a:rPr lang="en-US" sz="800" b="0" baseline="0">
              <a:solidFill>
                <a:schemeClr val="dk1"/>
              </a:solidFill>
              <a:effectLst/>
              <a:latin typeface="+mn-lt"/>
              <a:ea typeface="+mn-ea"/>
              <a:cs typeface="+mn-cs"/>
            </a:rPr>
            <a:t>n</a:t>
          </a:r>
          <a:r>
            <a:rPr lang="en-US" sz="1200" b="0" baseline="0">
              <a:solidFill>
                <a:schemeClr val="dk1"/>
              </a:solidFill>
              <a:effectLst/>
              <a:latin typeface="+mn-lt"/>
              <a:ea typeface="+mn-ea"/>
              <a:cs typeface="+mn-cs"/>
            </a:rPr>
            <a:t>, the ending value of an amount C</a:t>
          </a:r>
          <a:r>
            <a:rPr lang="en-US" sz="800" b="0" baseline="0">
              <a:solidFill>
                <a:schemeClr val="dk1"/>
              </a:solidFill>
              <a:effectLst/>
              <a:latin typeface="+mn-lt"/>
              <a:ea typeface="+mn-ea"/>
              <a:cs typeface="+mn-cs"/>
            </a:rPr>
            <a:t>0</a:t>
          </a:r>
          <a:r>
            <a:rPr lang="en-US" sz="1200" b="0" baseline="0">
              <a:solidFill>
                <a:schemeClr val="dk1"/>
              </a:solidFill>
              <a:effectLst/>
              <a:latin typeface="+mn-lt"/>
              <a:ea typeface="+mn-ea"/>
              <a:cs typeface="+mn-cs"/>
            </a:rPr>
            <a:t> at the start of the period 1 (end of period 0) should be:</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C</a:t>
          </a:r>
          <a:r>
            <a:rPr lang="en-US" sz="800" b="0" baseline="0">
              <a:solidFill>
                <a:schemeClr val="dk1"/>
              </a:solidFill>
              <a:effectLst/>
              <a:latin typeface="+mn-lt"/>
              <a:ea typeface="+mn-ea"/>
              <a:cs typeface="+mn-cs"/>
            </a:rPr>
            <a:t>0</a:t>
          </a:r>
          <a:r>
            <a:rPr lang="en-US" sz="1200" b="0" baseline="0">
              <a:solidFill>
                <a:schemeClr val="dk1"/>
              </a:solidFill>
              <a:effectLst/>
              <a:latin typeface="+mn-lt"/>
              <a:ea typeface="+mn-ea"/>
              <a:cs typeface="+mn-cs"/>
            </a:rPr>
            <a:t> (1+ r</a:t>
          </a:r>
          <a:r>
            <a:rPr lang="en-US" sz="800" b="0" baseline="0">
              <a:solidFill>
                <a:schemeClr val="dk1"/>
              </a:solidFill>
              <a:effectLst/>
              <a:latin typeface="+mn-lt"/>
              <a:ea typeface="+mn-ea"/>
              <a:cs typeface="+mn-cs"/>
            </a:rPr>
            <a:t>1</a:t>
          </a:r>
          <a:r>
            <a:rPr lang="en-US" sz="1200" b="0" baseline="0">
              <a:solidFill>
                <a:schemeClr val="dk1"/>
              </a:solidFill>
              <a:effectLst/>
              <a:latin typeface="+mn-lt"/>
              <a:ea typeface="+mn-ea"/>
              <a:cs typeface="+mn-cs"/>
            </a:rPr>
            <a:t>)(1+ r</a:t>
          </a:r>
          <a:r>
            <a:rPr lang="en-US" sz="800" b="0" baseline="0">
              <a:solidFill>
                <a:schemeClr val="dk1"/>
              </a:solidFill>
              <a:effectLst/>
              <a:latin typeface="+mn-lt"/>
              <a:ea typeface="+mn-ea"/>
              <a:cs typeface="+mn-cs"/>
            </a:rPr>
            <a:t>2</a:t>
          </a:r>
          <a:r>
            <a:rPr lang="en-US" sz="1200" b="0" baseline="0">
              <a:solidFill>
                <a:schemeClr val="dk1"/>
              </a:solidFill>
              <a:effectLst/>
              <a:latin typeface="+mn-lt"/>
              <a:ea typeface="+mn-ea"/>
              <a:cs typeface="+mn-cs"/>
            </a:rPr>
            <a:t>)(1+ r</a:t>
          </a:r>
          <a:r>
            <a:rPr lang="en-US" sz="800" b="0" baseline="0">
              <a:solidFill>
                <a:schemeClr val="dk1"/>
              </a:solidFill>
              <a:effectLst/>
              <a:latin typeface="+mn-lt"/>
              <a:ea typeface="+mn-ea"/>
              <a:cs typeface="+mn-cs"/>
            </a:rPr>
            <a:t>3</a:t>
          </a:r>
          <a:r>
            <a:rPr lang="en-US" sz="1200" b="0" baseline="0">
              <a:solidFill>
                <a:schemeClr val="dk1"/>
              </a:solidFill>
              <a:effectLst/>
              <a:latin typeface="+mn-lt"/>
              <a:ea typeface="+mn-ea"/>
              <a:cs typeface="+mn-cs"/>
            </a:rPr>
            <a:t>)...(1+ r</a:t>
          </a:r>
          <a:r>
            <a:rPr lang="en-US" sz="800" b="0" baseline="0">
              <a:solidFill>
                <a:schemeClr val="dk1"/>
              </a:solidFill>
              <a:effectLst/>
              <a:latin typeface="+mn-lt"/>
              <a:ea typeface="+mn-ea"/>
              <a:cs typeface="+mn-cs"/>
            </a:rPr>
            <a:t>n</a:t>
          </a:r>
          <a:r>
            <a:rPr lang="en-US" sz="1200" b="0" baseline="0">
              <a:solidFill>
                <a:schemeClr val="dk1"/>
              </a:solidFill>
              <a:effectLst/>
              <a:latin typeface="+mn-lt"/>
              <a:ea typeface="+mn-ea"/>
              <a:cs typeface="+mn-cs"/>
            </a:rPr>
            <a:t>) = C</a:t>
          </a:r>
          <a:r>
            <a:rPr lang="en-US" sz="800" b="0" baseline="0">
              <a:solidFill>
                <a:schemeClr val="dk1"/>
              </a:solidFill>
              <a:effectLst/>
              <a:latin typeface="+mn-lt"/>
              <a:ea typeface="+mn-ea"/>
              <a:cs typeface="+mn-cs"/>
            </a:rPr>
            <a:t>0</a:t>
          </a:r>
          <a:r>
            <a:rPr lang="en-US" sz="1200" b="0" baseline="0">
              <a:solidFill>
                <a:schemeClr val="dk1"/>
              </a:solidFill>
              <a:effectLst/>
              <a:latin typeface="+mn-lt"/>
              <a:ea typeface="+mn-ea"/>
              <a:cs typeface="+mn-cs"/>
            </a:rPr>
            <a:t> (1+ r</a:t>
          </a:r>
          <a:r>
            <a:rPr lang="en-US" sz="800" b="0" baseline="0">
              <a:solidFill>
                <a:schemeClr val="dk1"/>
              </a:solidFill>
              <a:effectLst/>
              <a:latin typeface="+mn-lt"/>
              <a:ea typeface="+mn-ea"/>
              <a:cs typeface="+mn-cs"/>
            </a:rPr>
            <a:t>g</a:t>
          </a:r>
          <a:r>
            <a:rPr lang="en-US" sz="1200" b="0" baseline="0">
              <a:solidFill>
                <a:schemeClr val="dk1"/>
              </a:solidFill>
              <a:effectLst/>
              <a:latin typeface="+mn-lt"/>
              <a:ea typeface="+mn-ea"/>
              <a:cs typeface="+mn-cs"/>
            </a:rPr>
            <a:t>)^n</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where r</a:t>
          </a:r>
          <a:r>
            <a:rPr lang="en-US" sz="800" b="0" baseline="0">
              <a:solidFill>
                <a:schemeClr val="dk1"/>
              </a:solidFill>
              <a:effectLst/>
              <a:latin typeface="+mn-lt"/>
              <a:ea typeface="+mn-ea"/>
              <a:cs typeface="+mn-cs"/>
            </a:rPr>
            <a:t>g</a:t>
          </a:r>
          <a:r>
            <a:rPr lang="en-US" sz="1200" b="0" baseline="0">
              <a:solidFill>
                <a:schemeClr val="dk1"/>
              </a:solidFill>
              <a:effectLst/>
              <a:latin typeface="+mn-lt"/>
              <a:ea typeface="+mn-ea"/>
              <a:cs typeface="+mn-cs"/>
            </a:rPr>
            <a:t> is the geometric mean of the returns r</a:t>
          </a:r>
          <a:r>
            <a:rPr lang="en-US" sz="800" b="0" baseline="0">
              <a:solidFill>
                <a:schemeClr val="dk1"/>
              </a:solidFill>
              <a:effectLst/>
              <a:latin typeface="+mn-lt"/>
              <a:ea typeface="+mn-ea"/>
              <a:cs typeface="+mn-cs"/>
            </a:rPr>
            <a:t>1</a:t>
          </a:r>
          <a:r>
            <a:rPr lang="en-US" sz="1200" b="0" baseline="0">
              <a:solidFill>
                <a:schemeClr val="dk1"/>
              </a:solidFill>
              <a:effectLst/>
              <a:latin typeface="+mn-lt"/>
              <a:ea typeface="+mn-ea"/>
              <a:cs typeface="+mn-cs"/>
            </a:rPr>
            <a:t>, r</a:t>
          </a:r>
          <a:r>
            <a:rPr lang="en-US" sz="800" b="0" baseline="0">
              <a:solidFill>
                <a:schemeClr val="dk1"/>
              </a:solidFill>
              <a:effectLst/>
              <a:latin typeface="+mn-lt"/>
              <a:ea typeface="+mn-ea"/>
              <a:cs typeface="+mn-cs"/>
            </a:rPr>
            <a:t>2</a:t>
          </a:r>
          <a:r>
            <a:rPr lang="en-US" sz="1200" b="0" baseline="0">
              <a:solidFill>
                <a:schemeClr val="dk1"/>
              </a:solidFill>
              <a:effectLst/>
              <a:latin typeface="+mn-lt"/>
              <a:ea typeface="+mn-ea"/>
              <a:cs typeface="+mn-cs"/>
            </a:rPr>
            <a:t>, r</a:t>
          </a:r>
          <a:r>
            <a:rPr lang="en-US" sz="800" b="0" baseline="0">
              <a:solidFill>
                <a:schemeClr val="dk1"/>
              </a:solidFill>
              <a:effectLst/>
              <a:latin typeface="+mn-lt"/>
              <a:ea typeface="+mn-ea"/>
              <a:cs typeface="+mn-cs"/>
            </a:rPr>
            <a:t>3</a:t>
          </a:r>
          <a:r>
            <a:rPr lang="en-US" sz="1200" b="0" baseline="0">
              <a:solidFill>
                <a:schemeClr val="dk1"/>
              </a:solidFill>
              <a:effectLst/>
              <a:latin typeface="+mn-lt"/>
              <a:ea typeface="+mn-ea"/>
              <a:cs typeface="+mn-cs"/>
            </a:rPr>
            <a:t>, ..., r</a:t>
          </a:r>
          <a:r>
            <a:rPr lang="en-US" sz="800" b="0" baseline="0">
              <a:solidFill>
                <a:schemeClr val="dk1"/>
              </a:solidFill>
              <a:effectLst/>
              <a:latin typeface="+mn-lt"/>
              <a:ea typeface="+mn-ea"/>
              <a:cs typeface="+mn-cs"/>
            </a:rPr>
            <a:t>n</a:t>
          </a:r>
          <a:r>
            <a:rPr lang="en-US" sz="1200" b="0" baseline="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The model assumes that the returns have a normal probability distribution, then the formula for expected value of the geometric mean is:</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E(r</a:t>
          </a:r>
          <a:r>
            <a:rPr lang="en-US" sz="800" b="0" baseline="0">
              <a:solidFill>
                <a:schemeClr val="dk1"/>
              </a:solidFill>
              <a:effectLst/>
              <a:latin typeface="+mn-lt"/>
              <a:ea typeface="+mn-ea"/>
              <a:cs typeface="+mn-cs"/>
            </a:rPr>
            <a:t>g</a:t>
          </a:r>
          <a:r>
            <a:rPr lang="en-US" sz="1200" b="0" baseline="0">
              <a:solidFill>
                <a:schemeClr val="dk1"/>
              </a:solidFill>
              <a:effectLst/>
              <a:latin typeface="+mn-lt"/>
              <a:ea typeface="+mn-ea"/>
              <a:cs typeface="+mn-cs"/>
            </a:rPr>
            <a:t>) = E(r) - 1/2*</a:t>
          </a:r>
          <a:r>
            <a:rPr lang="el-GR" sz="1200" b="0" baseline="0">
              <a:solidFill>
                <a:schemeClr val="dk1"/>
              </a:solidFill>
              <a:effectLst/>
              <a:latin typeface="+mn-lt"/>
              <a:ea typeface="+mn-ea"/>
              <a:cs typeface="+mn-cs"/>
            </a:rPr>
            <a:t>σ</a:t>
          </a:r>
          <a:r>
            <a:rPr lang="en-US" sz="1200" b="0" baseline="0">
              <a:solidFill>
                <a:schemeClr val="dk1"/>
              </a:solidFill>
              <a:effectLst/>
              <a:latin typeface="+mn-lt"/>
              <a:ea typeface="+mn-ea"/>
              <a:cs typeface="+mn-cs"/>
            </a:rPr>
            <a:t>^2</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Notice that the </a:t>
          </a:r>
          <a:r>
            <a:rPr lang="el-GR" sz="1200" b="0" baseline="0">
              <a:solidFill>
                <a:schemeClr val="dk1"/>
              </a:solidFill>
              <a:effectLst/>
              <a:latin typeface="+mn-lt"/>
              <a:ea typeface="+mn-ea"/>
              <a:cs typeface="+mn-cs"/>
            </a:rPr>
            <a:t>σ</a:t>
          </a:r>
          <a:r>
            <a:rPr lang="en-US" sz="1200" b="0" baseline="0">
              <a:solidFill>
                <a:schemeClr val="dk1"/>
              </a:solidFill>
              <a:effectLst/>
              <a:latin typeface="+mn-lt"/>
              <a:ea typeface="+mn-ea"/>
              <a:cs typeface="+mn-cs"/>
            </a:rPr>
            <a:t> and the E(r</a:t>
          </a:r>
          <a:r>
            <a:rPr lang="en-US" sz="800" b="0" baseline="0">
              <a:solidFill>
                <a:schemeClr val="dk1"/>
              </a:solidFill>
              <a:effectLst/>
              <a:latin typeface="+mn-lt"/>
              <a:ea typeface="+mn-ea"/>
              <a:cs typeface="+mn-cs"/>
            </a:rPr>
            <a:t>g</a:t>
          </a:r>
          <a:r>
            <a:rPr lang="en-US" sz="1200" b="0" baseline="0">
              <a:solidFill>
                <a:schemeClr val="dk1"/>
              </a:solidFill>
              <a:effectLst/>
              <a:latin typeface="+mn-lt"/>
              <a:ea typeface="+mn-ea"/>
              <a:cs typeface="+mn-cs"/>
            </a:rPr>
            <a:t>) are in reverse correlation.</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3. In the Random-Trials Scenario, the way for the model to incorporate randomness is to simulate the future values of random variables. Normally distributed random numbers (z-scores) are generated by the Random Number Generation procedure in Excel. These random variables are set to generate with mean 0 and standard deviation 1 (normal distribution). The formula in this scenario:</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r = E(r) + z</a:t>
          </a:r>
          <a:r>
            <a:rPr lang="el-GR" sz="1200" b="0" baseline="0">
              <a:solidFill>
                <a:schemeClr val="dk1"/>
              </a:solidFill>
              <a:effectLst/>
              <a:latin typeface="+mn-lt"/>
              <a:ea typeface="+mn-ea"/>
              <a:cs typeface="+mn-cs"/>
            </a:rPr>
            <a:t>σ</a:t>
          </a: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r>
            <a:rPr lang="en-US" sz="1200" b="0" baseline="0">
              <a:solidFill>
                <a:schemeClr val="dk1"/>
              </a:solidFill>
              <a:effectLst/>
              <a:latin typeface="+mn-lt"/>
              <a:ea typeface="+mn-ea"/>
              <a:cs typeface="+mn-cs"/>
            </a:rPr>
            <a:t>Notice that a specific random seed should be applied in the Random Number Generation procedure if the user needs to replicate the generated random numbers in the next trial.</a:t>
          </a: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Wingdings" panose="05000000000000000000" pitchFamily="2" charset="2"/>
            <a:buNone/>
            <a:tabLst/>
            <a:defRPr/>
          </a:pPr>
          <a:endParaRPr lang="en-US" sz="1200" b="0" baseline="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25400</xdr:rowOff>
    </xdr:from>
    <xdr:to>
      <xdr:col>15</xdr:col>
      <xdr:colOff>292100</xdr:colOff>
      <xdr:row>19</xdr:row>
      <xdr:rowOff>177800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647700</xdr:colOff>
      <xdr:row>21</xdr:row>
      <xdr:rowOff>177800</xdr:rowOff>
    </xdr:from>
    <xdr:to>
      <xdr:col>13</xdr:col>
      <xdr:colOff>12700</xdr:colOff>
      <xdr:row>25</xdr:row>
      <xdr:rowOff>12700</xdr:rowOff>
    </xdr:to>
    <xdr:sp macro="[0]!Sheet1.Req_saving_rate" textlink="">
      <xdr:nvSpPr>
        <xdr:cNvPr id="2" name="TextBox 1">
          <a:extLst>
            <a:ext uri="{FF2B5EF4-FFF2-40B4-BE49-F238E27FC236}">
              <a16:creationId xmlns:a16="http://schemas.microsoft.com/office/drawing/2014/main" id="{00000000-0008-0000-0200-000002000000}"/>
            </a:ext>
          </a:extLst>
        </xdr:cNvPr>
        <xdr:cNvSpPr txBox="1"/>
      </xdr:nvSpPr>
      <xdr:spPr>
        <a:xfrm>
          <a:off x="12738100" y="4191000"/>
          <a:ext cx="1384300" cy="62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12</xdr:col>
      <xdr:colOff>352425</xdr:colOff>
      <xdr:row>30</xdr:row>
      <xdr:rowOff>9525</xdr:rowOff>
    </xdr:from>
    <xdr:to>
      <xdr:col>14</xdr:col>
      <xdr:colOff>9525</xdr:colOff>
      <xdr:row>32</xdr:row>
      <xdr:rowOff>9525</xdr:rowOff>
    </xdr:to>
    <xdr:sp macro="[0]!MonteCarloSimulation" textlink="">
      <xdr:nvSpPr>
        <xdr:cNvPr id="3" name="TextBox 2">
          <a:extLst>
            <a:ext uri="{FF2B5EF4-FFF2-40B4-BE49-F238E27FC236}">
              <a16:creationId xmlns:a16="http://schemas.microsoft.com/office/drawing/2014/main" id="{00000000-0008-0000-0200-000003000000}"/>
            </a:ext>
          </a:extLst>
        </xdr:cNvPr>
        <xdr:cNvSpPr txBox="1"/>
      </xdr:nvSpPr>
      <xdr:spPr>
        <a:xfrm>
          <a:off x="12706350" y="5772150"/>
          <a:ext cx="6096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64</xdr:col>
      <xdr:colOff>495299</xdr:colOff>
      <xdr:row>2</xdr:row>
      <xdr:rowOff>28575</xdr:rowOff>
    </xdr:from>
    <xdr:to>
      <xdr:col>74</xdr:col>
      <xdr:colOff>314324</xdr:colOff>
      <xdr:row>19</xdr:row>
      <xdr:rowOff>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66</xdr:col>
      <xdr:colOff>781050</xdr:colOff>
      <xdr:row>59</xdr:row>
      <xdr:rowOff>138112</xdr:rowOff>
    </xdr:from>
    <xdr:to>
      <xdr:col>72</xdr:col>
      <xdr:colOff>152400</xdr:colOff>
      <xdr:row>74</xdr:row>
      <xdr:rowOff>23812</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228600</xdr:colOff>
          <xdr:row>19</xdr:row>
          <xdr:rowOff>12700</xdr:rowOff>
        </xdr:from>
        <xdr:to>
          <xdr:col>19</xdr:col>
          <xdr:colOff>419100</xdr:colOff>
          <xdr:row>21</xdr:row>
          <xdr:rowOff>88900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16</xdr:row>
          <xdr:rowOff>25400</xdr:rowOff>
        </xdr:from>
        <xdr:to>
          <xdr:col>19</xdr:col>
          <xdr:colOff>419100</xdr:colOff>
          <xdr:row>18</xdr:row>
          <xdr:rowOff>101600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Work 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254000</xdr:colOff>
          <xdr:row>8</xdr:row>
          <xdr:rowOff>0</xdr:rowOff>
        </xdr:from>
        <xdr:to>
          <xdr:col>19</xdr:col>
          <xdr:colOff>444500</xdr:colOff>
          <xdr:row>11</xdr:row>
          <xdr:rowOff>114300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Shortfall Vs Asset Allocation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241300</xdr:colOff>
          <xdr:row>12</xdr:row>
          <xdr:rowOff>0</xdr:rowOff>
        </xdr:from>
        <xdr:to>
          <xdr:col>19</xdr:col>
          <xdr:colOff>431800</xdr:colOff>
          <xdr:row>15</xdr:row>
          <xdr:rowOff>114300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Shortfall Vs Savings Rate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1104900</xdr:colOff>
          <xdr:row>26</xdr:row>
          <xdr:rowOff>190500</xdr:rowOff>
        </xdr:from>
        <xdr:to>
          <xdr:col>104</xdr:col>
          <xdr:colOff>2324100</xdr:colOff>
          <xdr:row>28</xdr:row>
          <xdr:rowOff>165100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200-00007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114</xdr:col>
          <xdr:colOff>63500</xdr:colOff>
          <xdr:row>8</xdr:row>
          <xdr:rowOff>152400</xdr:rowOff>
        </xdr:from>
        <xdr:to>
          <xdr:col>116</xdr:col>
          <xdr:colOff>88900</xdr:colOff>
          <xdr:row>10</xdr:row>
          <xdr:rowOff>139700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200-00007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76</xdr:col>
          <xdr:colOff>63500</xdr:colOff>
          <xdr:row>48</xdr:row>
          <xdr:rowOff>152400</xdr:rowOff>
        </xdr:from>
        <xdr:to>
          <xdr:col>78</xdr:col>
          <xdr:colOff>88900</xdr:colOff>
          <xdr:row>50</xdr:row>
          <xdr:rowOff>139700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200-00007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63500</xdr:colOff>
          <xdr:row>21</xdr:row>
          <xdr:rowOff>152400</xdr:rowOff>
        </xdr:from>
        <xdr:to>
          <xdr:col>67</xdr:col>
          <xdr:colOff>368300</xdr:colOff>
          <xdr:row>23</xdr:row>
          <xdr:rowOff>127000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200-00007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241300</xdr:colOff>
          <xdr:row>5</xdr:row>
          <xdr:rowOff>12700</xdr:rowOff>
        </xdr:from>
        <xdr:to>
          <xdr:col>19</xdr:col>
          <xdr:colOff>431800</xdr:colOff>
          <xdr:row>7</xdr:row>
          <xdr:rowOff>88900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200-00007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Cashflow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50</xdr:col>
          <xdr:colOff>228600</xdr:colOff>
          <xdr:row>19</xdr:row>
          <xdr:rowOff>12700</xdr:rowOff>
        </xdr:from>
        <xdr:to>
          <xdr:col>52</xdr:col>
          <xdr:colOff>419100</xdr:colOff>
          <xdr:row>21</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2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228600</xdr:colOff>
          <xdr:row>16</xdr:row>
          <xdr:rowOff>25400</xdr:rowOff>
        </xdr:from>
        <xdr:to>
          <xdr:col>52</xdr:col>
          <xdr:colOff>419100</xdr:colOff>
          <xdr:row>18</xdr:row>
          <xdr:rowOff>101600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2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Work 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254000</xdr:colOff>
          <xdr:row>8</xdr:row>
          <xdr:rowOff>0</xdr:rowOff>
        </xdr:from>
        <xdr:to>
          <xdr:col>52</xdr:col>
          <xdr:colOff>444500</xdr:colOff>
          <xdr:row>11</xdr:row>
          <xdr:rowOff>114300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2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Shortfall Vs Asset Allocation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241300</xdr:colOff>
          <xdr:row>12</xdr:row>
          <xdr:rowOff>0</xdr:rowOff>
        </xdr:from>
        <xdr:to>
          <xdr:col>52</xdr:col>
          <xdr:colOff>431800</xdr:colOff>
          <xdr:row>15</xdr:row>
          <xdr:rowOff>114300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2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Shortfall Vs Savings Rate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241300</xdr:colOff>
          <xdr:row>5</xdr:row>
          <xdr:rowOff>12700</xdr:rowOff>
        </xdr:from>
        <xdr:to>
          <xdr:col>52</xdr:col>
          <xdr:colOff>431800</xdr:colOff>
          <xdr:row>7</xdr:row>
          <xdr:rowOff>88900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2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3</xdr:row>
          <xdr:rowOff>127000</xdr:rowOff>
        </xdr:from>
        <xdr:to>
          <xdr:col>5</xdr:col>
          <xdr:colOff>190500</xdr:colOff>
          <xdr:row>5</xdr:row>
          <xdr:rowOff>63500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2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Backup User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6</xdr:row>
          <xdr:rowOff>88900</xdr:rowOff>
        </xdr:from>
        <xdr:to>
          <xdr:col>5</xdr:col>
          <xdr:colOff>190500</xdr:colOff>
          <xdr:row>8</xdr:row>
          <xdr:rowOff>25400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2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User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0</xdr:row>
          <xdr:rowOff>241300</xdr:rowOff>
        </xdr:from>
        <xdr:to>
          <xdr:col>5</xdr:col>
          <xdr:colOff>190500</xdr:colOff>
          <xdr:row>2</xdr:row>
          <xdr:rowOff>101600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2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Default Inputs</a:t>
              </a:r>
            </a:p>
          </xdr:txBody>
        </xdr:sp>
        <xdr:clientData fPrintsWithSheet="0"/>
      </xdr:twoCellAnchor>
    </mc:Choice>
    <mc:Fallback/>
  </mc:AlternateContent>
  <xdr:twoCellAnchor>
    <xdr:from>
      <xdr:col>3</xdr:col>
      <xdr:colOff>12700</xdr:colOff>
      <xdr:row>43</xdr:row>
      <xdr:rowOff>6350</xdr:rowOff>
    </xdr:from>
    <xdr:to>
      <xdr:col>4</xdr:col>
      <xdr:colOff>609600</xdr:colOff>
      <xdr:row>45</xdr:row>
      <xdr:rowOff>12700</xdr:rowOff>
    </xdr:to>
    <xdr:sp macro="[0]!RiskAversion" textlink="">
      <xdr:nvSpPr>
        <xdr:cNvPr id="4" name="TextBox 3">
          <a:extLst>
            <a:ext uri="{FF2B5EF4-FFF2-40B4-BE49-F238E27FC236}">
              <a16:creationId xmlns:a16="http://schemas.microsoft.com/office/drawing/2014/main" id="{00000000-0008-0000-0200-000004000000}"/>
            </a:ext>
          </a:extLst>
        </xdr:cNvPr>
        <xdr:cNvSpPr txBox="1"/>
      </xdr:nvSpPr>
      <xdr:spPr>
        <a:xfrm>
          <a:off x="5060950" y="8058150"/>
          <a:ext cx="121285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6350</xdr:colOff>
      <xdr:row>46</xdr:row>
      <xdr:rowOff>19050</xdr:rowOff>
    </xdr:from>
    <xdr:to>
      <xdr:col>5</xdr:col>
      <xdr:colOff>0</xdr:colOff>
      <xdr:row>47</xdr:row>
      <xdr:rowOff>177800</xdr:rowOff>
    </xdr:to>
    <xdr:sp macro="[0]!RiskAversionN" textlink="">
      <xdr:nvSpPr>
        <xdr:cNvPr id="8" name="TextBox 7">
          <a:extLst>
            <a:ext uri="{FF2B5EF4-FFF2-40B4-BE49-F238E27FC236}">
              <a16:creationId xmlns:a16="http://schemas.microsoft.com/office/drawing/2014/main" id="{00000000-0008-0000-0200-000008000000}"/>
            </a:ext>
          </a:extLst>
        </xdr:cNvPr>
        <xdr:cNvSpPr txBox="1"/>
      </xdr:nvSpPr>
      <xdr:spPr>
        <a:xfrm>
          <a:off x="5054600" y="8623300"/>
          <a:ext cx="12255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05-Group1B-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Cover"/>
      <sheetName val="User Guide"/>
      <sheetName val="P05-Group1B-V2"/>
    </sheetNames>
    <sheetDataSet>
      <sheetData sheetId="0">
        <row r="9">
          <cell r="B9">
            <v>26</v>
          </cell>
        </row>
        <row r="11">
          <cell r="B11">
            <v>0.1</v>
          </cell>
        </row>
        <row r="15">
          <cell r="B15">
            <v>60</v>
          </cell>
        </row>
        <row r="26">
          <cell r="J26">
            <v>393358.52297310706</v>
          </cell>
        </row>
      </sheetData>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customProperty" Target="../customProperty1.bin"/><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7BB72-C952-4EFB-8017-CF5695EF1ECD}">
  <sheetPr codeName="Sheet2"/>
  <dimension ref="A1:M8"/>
  <sheetViews>
    <sheetView showGridLines="0" tabSelected="1" zoomScaleNormal="100" workbookViewId="0">
      <selection sqref="A1:I2"/>
    </sheetView>
  </sheetViews>
  <sheetFormatPr baseColWidth="10" defaultColWidth="8.83203125" defaultRowHeight="15" x14ac:dyDescent="0.2"/>
  <sheetData>
    <row r="1" spans="1:13" ht="14.5" customHeight="1" x14ac:dyDescent="0.2">
      <c r="A1" s="79" t="s">
        <v>97</v>
      </c>
      <c r="B1" s="80"/>
      <c r="C1" s="80"/>
      <c r="D1" s="80"/>
      <c r="E1" s="80"/>
      <c r="F1" s="80"/>
      <c r="G1" s="80"/>
      <c r="H1" s="80"/>
      <c r="I1" s="81"/>
    </row>
    <row r="2" spans="1:13" ht="14.5" customHeight="1" x14ac:dyDescent="0.2">
      <c r="A2" s="82"/>
      <c r="B2" s="83"/>
      <c r="C2" s="83"/>
      <c r="D2" s="83"/>
      <c r="E2" s="83"/>
      <c r="F2" s="83"/>
      <c r="G2" s="83"/>
      <c r="H2" s="83"/>
      <c r="I2" s="84"/>
    </row>
    <row r="5" spans="1:13" x14ac:dyDescent="0.2">
      <c r="K5" s="85" t="s">
        <v>96</v>
      </c>
      <c r="L5" s="86"/>
      <c r="M5" s="87"/>
    </row>
    <row r="6" spans="1:13" x14ac:dyDescent="0.2">
      <c r="K6" s="73"/>
      <c r="L6" s="72"/>
      <c r="M6" s="71"/>
    </row>
    <row r="7" spans="1:13" x14ac:dyDescent="0.2">
      <c r="K7" s="70"/>
      <c r="M7" s="69"/>
    </row>
    <row r="8" spans="1:13" x14ac:dyDescent="0.2">
      <c r="K8" s="68"/>
      <c r="L8" s="67"/>
      <c r="M8" s="66"/>
    </row>
  </sheetData>
  <mergeCells count="2">
    <mergeCell ref="A1:I2"/>
    <mergeCell ref="K5:M5"/>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_Model">
                <anchor moveWithCells="1" sizeWithCells="1">
                  <from>
                    <xdr:col>10</xdr:col>
                    <xdr:colOff>304800</xdr:colOff>
                    <xdr:row>5</xdr:row>
                    <xdr:rowOff>88900</xdr:rowOff>
                  </from>
                  <to>
                    <xdr:col>12</xdr:col>
                    <xdr:colOff>304800</xdr:colOff>
                    <xdr:row>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J106"/>
  <sheetViews>
    <sheetView showGridLines="0" zoomScaleNormal="100" workbookViewId="0">
      <selection sqref="A1:B1"/>
    </sheetView>
  </sheetViews>
  <sheetFormatPr baseColWidth="10" defaultColWidth="8.83203125" defaultRowHeight="15" x14ac:dyDescent="0.2"/>
  <cols>
    <col min="1" max="1" width="49.5" bestFit="1" customWidth="1"/>
    <col min="2" max="2" width="14" customWidth="1"/>
    <col min="9" max="9" width="37.1640625" bestFit="1" customWidth="1"/>
    <col min="10" max="10" width="13.83203125" bestFit="1" customWidth="1"/>
    <col min="13" max="13" width="5.5" customWidth="1"/>
    <col min="14" max="14" width="11.1640625" bestFit="1" customWidth="1"/>
    <col min="27" max="27" width="7.5" bestFit="1" customWidth="1"/>
    <col min="28" max="29" width="9.1640625" customWidth="1"/>
    <col min="30" max="30" width="10.83203125" customWidth="1"/>
    <col min="31" max="31" width="9.1640625" customWidth="1"/>
    <col min="32" max="32" width="16.5" style="26" customWidth="1"/>
    <col min="33" max="37" width="16.5" customWidth="1"/>
    <col min="38" max="38" width="16.5" style="26" customWidth="1"/>
    <col min="39" max="39" width="16.5" customWidth="1"/>
    <col min="40" max="40" width="16.5" style="26" customWidth="1"/>
    <col min="42" max="44" width="16.5" customWidth="1"/>
    <col min="63" max="63" width="12" bestFit="1" customWidth="1"/>
    <col min="64" max="64" width="14.5" bestFit="1" customWidth="1"/>
    <col min="65" max="68" width="13.5" bestFit="1" customWidth="1"/>
    <col min="69" max="74" width="12.6640625" bestFit="1" customWidth="1"/>
    <col min="105" max="105" width="35.83203125" bestFit="1" customWidth="1"/>
    <col min="106" max="106" width="14" bestFit="1" customWidth="1"/>
    <col min="111" max="111" width="13.5" bestFit="1" customWidth="1"/>
    <col min="112" max="112" width="15.1640625" bestFit="1" customWidth="1"/>
    <col min="156" max="156" width="11.5" bestFit="1" customWidth="1"/>
    <col min="157" max="157" width="47.33203125" bestFit="1" customWidth="1"/>
    <col min="158" max="158" width="11.83203125" bestFit="1" customWidth="1"/>
    <col min="165" max="165" width="15.1640625" bestFit="1" customWidth="1"/>
    <col min="166" max="166" width="8.33203125" bestFit="1" customWidth="1"/>
    <col min="170" max="178" width="0" hidden="1" customWidth="1"/>
    <col min="182" max="182" width="13.83203125" bestFit="1" customWidth="1"/>
    <col min="183" max="183" width="47.33203125" bestFit="1" customWidth="1"/>
    <col min="184" max="184" width="11.83203125" bestFit="1" customWidth="1"/>
    <col min="191" max="191" width="15.1640625" bestFit="1" customWidth="1"/>
  </cols>
  <sheetData>
    <row r="1" spans="1:184" ht="19.5" customHeight="1" thickBot="1" x14ac:dyDescent="0.25">
      <c r="A1" s="89" t="s">
        <v>0</v>
      </c>
      <c r="B1" s="90"/>
      <c r="AA1" s="18"/>
      <c r="AB1" s="18"/>
      <c r="AC1" s="98" t="s">
        <v>27</v>
      </c>
      <c r="AD1" s="99"/>
      <c r="AE1" s="18"/>
      <c r="AF1" s="25"/>
      <c r="AG1" s="98" t="s">
        <v>28</v>
      </c>
      <c r="AH1" s="117"/>
      <c r="AI1" s="117"/>
      <c r="AJ1" s="117"/>
      <c r="AK1" s="117"/>
      <c r="AL1" s="117"/>
      <c r="AM1" s="117"/>
      <c r="AN1" s="99"/>
      <c r="AO1" s="118" t="s">
        <v>29</v>
      </c>
      <c r="AP1" s="118"/>
      <c r="AQ1" s="118"/>
      <c r="AR1" s="118"/>
      <c r="BK1" s="111" t="s">
        <v>90</v>
      </c>
      <c r="BL1" s="112"/>
      <c r="BM1" s="112"/>
      <c r="BN1" s="112"/>
      <c r="BO1" s="112"/>
      <c r="BP1" s="112"/>
      <c r="BQ1" s="112"/>
      <c r="BR1" s="112"/>
      <c r="BS1" s="112"/>
      <c r="BT1" s="112"/>
      <c r="BU1" s="112"/>
      <c r="BV1" s="112"/>
      <c r="BW1" s="113"/>
      <c r="DA1" s="92" t="s">
        <v>64</v>
      </c>
      <c r="DB1" s="93"/>
      <c r="DC1" s="93"/>
      <c r="DD1" s="93"/>
      <c r="DE1" s="93"/>
      <c r="DF1" s="93"/>
      <c r="DG1" s="93"/>
      <c r="DH1" s="93"/>
      <c r="DI1" s="93"/>
      <c r="DJ1" s="93"/>
      <c r="DK1" s="93"/>
      <c r="DL1" s="93"/>
      <c r="DM1" s="93"/>
      <c r="DN1" s="93"/>
      <c r="DO1" s="93"/>
      <c r="DP1" s="93"/>
      <c r="DQ1" s="93"/>
      <c r="DR1" s="93"/>
      <c r="DS1" s="93"/>
      <c r="DT1" s="93"/>
      <c r="DU1" s="93"/>
      <c r="DV1" s="93"/>
      <c r="DW1" s="93"/>
      <c r="DX1" s="93"/>
      <c r="DY1" s="93"/>
      <c r="DZ1" s="94"/>
      <c r="EZ1" s="74" t="s">
        <v>98</v>
      </c>
      <c r="FA1" s="89" t="s">
        <v>0</v>
      </c>
      <c r="FB1" s="90"/>
      <c r="FZ1" s="74" t="s">
        <v>99</v>
      </c>
      <c r="GA1" s="89" t="s">
        <v>0</v>
      </c>
      <c r="GB1" s="90"/>
    </row>
    <row r="2" spans="1:184" ht="15" customHeight="1" thickBot="1" x14ac:dyDescent="0.25">
      <c r="A2" s="1" t="s">
        <v>1</v>
      </c>
      <c r="B2" s="2" t="s">
        <v>2</v>
      </c>
      <c r="AA2" s="136" t="s">
        <v>30</v>
      </c>
      <c r="AB2" s="119" t="s">
        <v>60</v>
      </c>
      <c r="AC2" s="119" t="s">
        <v>31</v>
      </c>
      <c r="AD2" s="119" t="s">
        <v>32</v>
      </c>
      <c r="AE2" s="119" t="s">
        <v>49</v>
      </c>
      <c r="AF2" s="120" t="s">
        <v>33</v>
      </c>
      <c r="AG2" s="119" t="s">
        <v>34</v>
      </c>
      <c r="AH2" s="119" t="s">
        <v>35</v>
      </c>
      <c r="AI2" s="119" t="s">
        <v>36</v>
      </c>
      <c r="AJ2" s="119" t="s">
        <v>43</v>
      </c>
      <c r="AK2" s="119" t="s">
        <v>42</v>
      </c>
      <c r="AL2" s="120" t="s">
        <v>37</v>
      </c>
      <c r="AM2" s="119" t="s">
        <v>44</v>
      </c>
      <c r="AN2" s="120" t="s">
        <v>38</v>
      </c>
      <c r="AO2" s="119" t="s">
        <v>45</v>
      </c>
      <c r="AP2" s="119" t="s">
        <v>39</v>
      </c>
      <c r="AQ2" s="119" t="s">
        <v>40</v>
      </c>
      <c r="AR2" s="119" t="s">
        <v>41</v>
      </c>
      <c r="AT2" s="100" t="s">
        <v>46</v>
      </c>
      <c r="AU2" s="100" t="s">
        <v>47</v>
      </c>
      <c r="AV2" s="100" t="s">
        <v>48</v>
      </c>
      <c r="BK2" s="114"/>
      <c r="BL2" s="115"/>
      <c r="BM2" s="115"/>
      <c r="BN2" s="115"/>
      <c r="BO2" s="115"/>
      <c r="BP2" s="115"/>
      <c r="BQ2" s="115"/>
      <c r="BR2" s="115"/>
      <c r="BS2" s="115"/>
      <c r="BT2" s="115"/>
      <c r="BU2" s="115"/>
      <c r="BV2" s="115"/>
      <c r="BW2" s="116"/>
      <c r="FA2" s="1" t="s">
        <v>1</v>
      </c>
      <c r="FB2" s="2" t="s">
        <v>2</v>
      </c>
      <c r="GA2" s="1" t="s">
        <v>1</v>
      </c>
      <c r="GB2" s="2" t="s">
        <v>2</v>
      </c>
    </row>
    <row r="3" spans="1:184" ht="16" thickBot="1" x14ac:dyDescent="0.25">
      <c r="A3" s="1" t="s">
        <v>20</v>
      </c>
      <c r="B3" s="3" t="s">
        <v>3</v>
      </c>
      <c r="AA3" s="136"/>
      <c r="AB3" s="119"/>
      <c r="AC3" s="119"/>
      <c r="AD3" s="119"/>
      <c r="AE3" s="119"/>
      <c r="AF3" s="120"/>
      <c r="AG3" s="119"/>
      <c r="AH3" s="119"/>
      <c r="AI3" s="119"/>
      <c r="AJ3" s="119"/>
      <c r="AK3" s="119"/>
      <c r="AL3" s="120"/>
      <c r="AM3" s="119"/>
      <c r="AN3" s="120"/>
      <c r="AO3" s="119"/>
      <c r="AP3" s="119"/>
      <c r="AQ3" s="119"/>
      <c r="AR3" s="119"/>
      <c r="AT3" s="101"/>
      <c r="AU3" s="101"/>
      <c r="AV3" s="101"/>
      <c r="BK3" s="51" t="s">
        <v>60</v>
      </c>
      <c r="BL3" s="51" t="s">
        <v>86</v>
      </c>
      <c r="DA3" s="95" t="s">
        <v>61</v>
      </c>
      <c r="DB3" s="24" t="s">
        <v>65</v>
      </c>
      <c r="DF3" s="14" t="s">
        <v>89</v>
      </c>
      <c r="DG3" s="49" t="s">
        <v>86</v>
      </c>
      <c r="DH3" s="50" t="s">
        <v>87</v>
      </c>
      <c r="FA3" s="1" t="s">
        <v>20</v>
      </c>
      <c r="FB3" s="3" t="s">
        <v>3</v>
      </c>
      <c r="GA3" s="1" t="s">
        <v>20</v>
      </c>
      <c r="GB3" s="3" t="s">
        <v>3</v>
      </c>
    </row>
    <row r="4" spans="1:184" ht="16" thickBot="1" x14ac:dyDescent="0.25">
      <c r="A4" s="1" t="s">
        <v>21</v>
      </c>
      <c r="B4" s="3" t="s">
        <v>4</v>
      </c>
      <c r="R4" s="125" t="s">
        <v>94</v>
      </c>
      <c r="S4" s="126"/>
      <c r="T4" s="127"/>
      <c r="AA4" s="136"/>
      <c r="AB4" s="119"/>
      <c r="AC4" s="119"/>
      <c r="AD4" s="119"/>
      <c r="AE4" s="119"/>
      <c r="AF4" s="120"/>
      <c r="AG4" s="119"/>
      <c r="AH4" s="119"/>
      <c r="AI4" s="119"/>
      <c r="AJ4" s="119"/>
      <c r="AK4" s="119"/>
      <c r="AL4" s="120"/>
      <c r="AM4" s="119"/>
      <c r="AN4" s="120"/>
      <c r="AO4" s="119"/>
      <c r="AP4" s="119"/>
      <c r="AQ4" s="119"/>
      <c r="AR4" s="119"/>
      <c r="AT4" s="101"/>
      <c r="AU4" s="101"/>
      <c r="AV4" s="101"/>
      <c r="AY4" s="125" t="s">
        <v>94</v>
      </c>
      <c r="AZ4" s="126"/>
      <c r="BA4" s="127"/>
      <c r="BK4" s="53">
        <f>SavingRate</f>
        <v>0.1</v>
      </c>
      <c r="BL4" s="28">
        <f ca="1">Shortfall</f>
        <v>393358.52297310706</v>
      </c>
      <c r="DA4" s="95"/>
      <c r="DB4" s="24" t="s">
        <v>66</v>
      </c>
      <c r="DF4" s="38">
        <v>1</v>
      </c>
      <c r="DG4" s="28">
        <v>5461695.9500000002</v>
      </c>
      <c r="DH4" s="10">
        <v>0.1634170012668632</v>
      </c>
      <c r="FA4" s="1" t="s">
        <v>21</v>
      </c>
      <c r="FB4" s="3" t="s">
        <v>4</v>
      </c>
      <c r="GA4" s="1" t="s">
        <v>21</v>
      </c>
      <c r="GB4" s="3" t="s">
        <v>4</v>
      </c>
    </row>
    <row r="5" spans="1:184" x14ac:dyDescent="0.2">
      <c r="A5" s="1" t="s">
        <v>5</v>
      </c>
      <c r="B5" s="3" t="s">
        <v>6</v>
      </c>
      <c r="R5" s="57"/>
      <c r="S5" s="58"/>
      <c r="T5" s="59"/>
      <c r="AA5" s="136"/>
      <c r="AB5" s="119"/>
      <c r="AC5" s="119"/>
      <c r="AD5" s="119"/>
      <c r="AE5" s="119"/>
      <c r="AF5" s="120"/>
      <c r="AG5" s="119"/>
      <c r="AH5" s="119"/>
      <c r="AI5" s="119"/>
      <c r="AJ5" s="119"/>
      <c r="AK5" s="119"/>
      <c r="AL5" s="120"/>
      <c r="AM5" s="119"/>
      <c r="AN5" s="120"/>
      <c r="AO5" s="119"/>
      <c r="AP5" s="119"/>
      <c r="AQ5" s="119"/>
      <c r="AR5" s="119"/>
      <c r="AT5" s="102"/>
      <c r="AU5" s="102"/>
      <c r="AV5" s="102"/>
      <c r="AY5" s="57"/>
      <c r="AZ5" s="58"/>
      <c r="BA5" s="59"/>
      <c r="BK5" s="54">
        <v>0</v>
      </c>
      <c r="BL5" s="28">
        <f t="dataTable" ref="BL5:BL19" dt2D="0" dtr="0" r1="B11" ca="1"/>
        <v>9266283.545524491</v>
      </c>
      <c r="DA5" s="95"/>
      <c r="DB5" s="24" t="s">
        <v>67</v>
      </c>
      <c r="DF5" s="38">
        <v>2</v>
      </c>
      <c r="DG5" s="28">
        <v>4018349.14</v>
      </c>
      <c r="DH5" s="10">
        <v>0.16205695875695711</v>
      </c>
      <c r="FA5" s="1" t="s">
        <v>5</v>
      </c>
      <c r="FB5" s="3" t="s">
        <v>6</v>
      </c>
      <c r="GA5" s="1" t="s">
        <v>5</v>
      </c>
      <c r="GB5" s="3" t="s">
        <v>6</v>
      </c>
    </row>
    <row r="6" spans="1:184" x14ac:dyDescent="0.2">
      <c r="A6" s="1" t="s">
        <v>7</v>
      </c>
      <c r="B6" s="3" t="s">
        <v>8</v>
      </c>
      <c r="R6" s="57"/>
      <c r="S6" s="58"/>
      <c r="T6" s="59"/>
      <c r="Z6">
        <f>AA6</f>
        <v>26</v>
      </c>
      <c r="AA6" s="27">
        <f>B9</f>
        <v>26</v>
      </c>
      <c r="AB6" s="27" t="s">
        <v>57</v>
      </c>
      <c r="AC6" s="27" t="s">
        <v>57</v>
      </c>
      <c r="AD6" s="28"/>
      <c r="AE6" s="29" t="s">
        <v>57</v>
      </c>
      <c r="AF6" s="28"/>
      <c r="AG6" s="27" t="s">
        <v>57</v>
      </c>
      <c r="AH6" s="27" t="s">
        <v>57</v>
      </c>
      <c r="AI6" s="27" t="s">
        <v>57</v>
      </c>
      <c r="AJ6" s="27" t="s">
        <v>57</v>
      </c>
      <c r="AK6" s="27" t="s">
        <v>57</v>
      </c>
      <c r="AL6" s="30"/>
      <c r="AM6" s="27" t="s">
        <v>57</v>
      </c>
      <c r="AN6" s="28" t="s">
        <v>57</v>
      </c>
      <c r="AO6" s="29" t="s">
        <v>57</v>
      </c>
      <c r="AP6" s="27" t="s">
        <v>57</v>
      </c>
      <c r="AQ6" s="27" t="s">
        <v>57</v>
      </c>
      <c r="AR6" s="28">
        <f>B12</f>
        <v>16432</v>
      </c>
      <c r="AY6" s="57"/>
      <c r="AZ6" s="58"/>
      <c r="BA6" s="59"/>
      <c r="BK6" s="54">
        <v>2.5000000000000001E-2</v>
      </c>
      <c r="BL6" s="28">
        <v>7048052.2898866432</v>
      </c>
      <c r="DF6" s="38">
        <v>3</v>
      </c>
      <c r="DG6" s="28">
        <v>6486867.0899999999</v>
      </c>
      <c r="DH6" s="10">
        <v>0.45183837252077164</v>
      </c>
      <c r="FA6" s="1" t="s">
        <v>7</v>
      </c>
      <c r="FB6" s="3" t="s">
        <v>8</v>
      </c>
      <c r="GA6" s="1" t="s">
        <v>7</v>
      </c>
      <c r="GB6" s="3" t="s">
        <v>8</v>
      </c>
    </row>
    <row r="7" spans="1:184" x14ac:dyDescent="0.2">
      <c r="R7" s="57"/>
      <c r="S7" s="58"/>
      <c r="T7" s="59"/>
      <c r="Z7">
        <f>Z6+1</f>
        <v>27</v>
      </c>
      <c r="AA7" s="27">
        <f>IF(AA6="","",IF(AA6+1&gt;$DB$10+$AA$6,"",AA6+1))</f>
        <v>27</v>
      </c>
      <c r="AB7" s="31">
        <f t="shared" ref="AB7:AB38" si="0">IF(AA7="","",IF(AA7&lt;=RetirementAge,$B$11,""))</f>
        <v>0.1</v>
      </c>
      <c r="AC7" s="31">
        <f>IF(AA7="","",IF($J$23=$DB$4,$B$40-0.5*$C$40^2,IF($J$23=$DB$5,$B$40+AT7*$C$40,$B$40)))</f>
        <v>0.04</v>
      </c>
      <c r="AD7" s="28">
        <f>IF(AA7="","",B10*(1+AC7))</f>
        <v>64480</v>
      </c>
      <c r="AE7" s="10">
        <f>IF(AA7="","",IF($J$23=$DB$4,$B$41-0.5*$C$41^2,IF($J$23=$DB$5,$B$41+AU7*$C$41,$B$41)))</f>
        <v>0.03</v>
      </c>
      <c r="AF7" s="28">
        <f>IF(AA7="","",B19*(1+AE7))</f>
        <v>123600</v>
      </c>
      <c r="AG7" s="28">
        <f t="shared" ref="AG7:AG38" si="1">IF(AA7="","",IF(AND(AA7&gt;CurrentAge,AA7&lt;=RetirementAge),AD7,""))</f>
        <v>64480</v>
      </c>
      <c r="AH7" s="28" t="str">
        <f t="shared" ref="AH7:AH38" si="2">IF(AA7="","",IF(AND(AA7&gt;RetirementAge,AA7&lt;=RetirementAge+$B$25),$B$26*AD7,""))</f>
        <v/>
      </c>
      <c r="AI7" s="28" t="str">
        <f>IF(AA7="","",IF(AA7&gt;=$DB$7,AD7*$B$23,""))</f>
        <v/>
      </c>
      <c r="AJ7" s="28">
        <f>IF(AA7="","",SUM(AG7:AI7))</f>
        <v>64480</v>
      </c>
      <c r="AK7" s="28">
        <f t="shared" ref="AK7:AK38" si="3">IF(AA7="","",IF(AA7&lt;=RetirementAge,AD7*(1-AB7),$B$17*AD7))</f>
        <v>58032</v>
      </c>
      <c r="AL7" s="28" t="str">
        <f>IF(AA7="","",IF(AA7&gt;$B$16-8,AK7*$B$29,""))</f>
        <v/>
      </c>
      <c r="AM7" s="28">
        <f>IF(AA7="","",SUM(AK7:AL7))</f>
        <v>58032</v>
      </c>
      <c r="AN7" s="28">
        <f>IF(AA7="","",AJ7-AM7)</f>
        <v>6448</v>
      </c>
      <c r="AO7" s="32">
        <f>IF(AA7="","",IF($J$23=$DB$4,$DC$12-0.5*$DC$13^2,IF($J$23=$DB$5,$DC$12+AV7*$DC$13,$DC$12)))</f>
        <v>7.4999999999999997E-2</v>
      </c>
      <c r="AP7" s="33">
        <f>IF(AA7="","",AR6*(1+AO7))</f>
        <v>17664.399999999998</v>
      </c>
      <c r="AQ7" s="34">
        <f>IF(AA7="","",AN7)</f>
        <v>6448</v>
      </c>
      <c r="AR7" s="28">
        <f>IF(AA7="","",SUM(AP7:AQ7))</f>
        <v>24112.399999999998</v>
      </c>
      <c r="AT7">
        <v>-2.4305336410179734</v>
      </c>
      <c r="AU7">
        <v>-0.74361992119520437</v>
      </c>
      <c r="AV7">
        <v>9.8190184871782549E-2</v>
      </c>
      <c r="AY7" s="57"/>
      <c r="AZ7" s="58"/>
      <c r="BA7" s="59"/>
      <c r="BK7" s="54">
        <v>0.05</v>
      </c>
      <c r="BL7" s="28">
        <v>4829821.0342487916</v>
      </c>
      <c r="DA7" s="96" t="s">
        <v>71</v>
      </c>
      <c r="DB7" s="97">
        <f>IF(RetirementAge&gt;=B22,B22,IF(RetirementAge&lt;B21,B21,RetirementAge+1))</f>
        <v>63</v>
      </c>
      <c r="DF7" s="38">
        <v>4</v>
      </c>
      <c r="DG7" s="28">
        <v>5074820.6399999997</v>
      </c>
      <c r="DH7" s="10">
        <v>0.20606148657477819</v>
      </c>
    </row>
    <row r="8" spans="1:184" x14ac:dyDescent="0.2">
      <c r="A8" s="88" t="s">
        <v>9</v>
      </c>
      <c r="B8" s="88"/>
      <c r="R8" s="57"/>
      <c r="S8" s="58"/>
      <c r="T8" s="59"/>
      <c r="Z8">
        <f t="shared" ref="Z8:Z71" si="4">Z7+1</f>
        <v>28</v>
      </c>
      <c r="AA8" s="27">
        <f t="shared" ref="AA8:AA71" si="5">IF(AA7="","",IF(AA7+1&gt;$DB$10+$AA$6,"",AA7+1))</f>
        <v>28</v>
      </c>
      <c r="AB8" s="31">
        <f t="shared" si="0"/>
        <v>0.1</v>
      </c>
      <c r="AC8" s="31">
        <f t="shared" ref="AC8:AC71" si="6">IF(AA8="","",IF($J$23=$DB$4,$B$40-0.5*$C$40^2,IF($J$23=$DB$5,$B$40+AT8*$C$40,$B$40)))</f>
        <v>0.04</v>
      </c>
      <c r="AD8" s="28">
        <f t="shared" ref="AD8:AD71" si="7">IF(AA8="","",AD7*(1+AC8))</f>
        <v>67059.199999999997</v>
      </c>
      <c r="AE8" s="10">
        <f t="shared" ref="AE8:AE71" si="8">IF(AA8="","",IF($J$23=$DB$4,$B$41-0.5*$C$41^2,IF($J$23=$DB$5,$B$41+AU8*$C$41,$B$41)))</f>
        <v>0.03</v>
      </c>
      <c r="AF8" s="28">
        <f t="shared" ref="AF8:AF71" si="9">IF(AA8="","",AF7*(1+AE8))</f>
        <v>127308</v>
      </c>
      <c r="AG8" s="28">
        <f t="shared" si="1"/>
        <v>67059.199999999997</v>
      </c>
      <c r="AH8" s="28" t="str">
        <f t="shared" si="2"/>
        <v/>
      </c>
      <c r="AI8" s="28" t="str">
        <f t="shared" ref="AI8:AI71" si="10">IF(AA8="","",IF(AA8&gt;=$DB$7,AD8*$B$23,""))</f>
        <v/>
      </c>
      <c r="AJ8" s="28">
        <f t="shared" ref="AJ8:AJ71" si="11">IF(AA8="","",SUM(AG8:AI8))</f>
        <v>67059.199999999997</v>
      </c>
      <c r="AK8" s="28">
        <f t="shared" si="3"/>
        <v>60353.279999999999</v>
      </c>
      <c r="AL8" s="28" t="str">
        <f t="shared" ref="AL8:AL71" si="12">IF(AA8="","",IF(AA8&gt;$B$16-8,AK8*$B$29,""))</f>
        <v/>
      </c>
      <c r="AM8" s="28">
        <f t="shared" ref="AM8:AM71" si="13">IF(AA8="","",SUM(AK8:AL8))</f>
        <v>60353.279999999999</v>
      </c>
      <c r="AN8" s="28">
        <f t="shared" ref="AN8:AN71" si="14">IF(AA8="","",AJ8-AM8)</f>
        <v>6705.9199999999983</v>
      </c>
      <c r="AO8" s="32">
        <f t="shared" ref="AO8:AO71" si="15">IF(AA8="","",IF($J$23=$DB$4,$DC$12-0.5*$DC$13^2,IF($J$23=$DB$5,$DC$12+AV8*$DC$13,$DC$12)))</f>
        <v>7.4999999999999997E-2</v>
      </c>
      <c r="AP8" s="33">
        <f t="shared" ref="AP8:AP71" si="16">IF(AA8="","",AR7*(1+AO8))</f>
        <v>25920.829999999998</v>
      </c>
      <c r="AQ8" s="34">
        <f t="shared" ref="AQ8:AQ71" si="17">IF(AA8="","",AN8)</f>
        <v>6705.9199999999983</v>
      </c>
      <c r="AR8" s="28">
        <f t="shared" ref="AR8:AR71" si="18">IF(AA8="","",SUM(AP8:AQ8))</f>
        <v>32626.749999999996</v>
      </c>
      <c r="AT8">
        <v>-1.453586264688056</v>
      </c>
      <c r="AU8">
        <v>-0.21237838154775091</v>
      </c>
      <c r="AV8">
        <v>-1.8893842934630811</v>
      </c>
      <c r="AY8" s="57"/>
      <c r="AZ8" s="58"/>
      <c r="BA8" s="59"/>
      <c r="BK8" s="54">
        <v>7.4999999999999997E-2</v>
      </c>
      <c r="BL8" s="28">
        <v>2611589.7786109499</v>
      </c>
      <c r="DA8" s="96"/>
      <c r="DB8" s="97"/>
      <c r="DF8" s="38"/>
      <c r="DG8" s="28"/>
      <c r="DH8" s="10"/>
      <c r="FA8" s="88" t="s">
        <v>9</v>
      </c>
      <c r="FB8" s="88"/>
      <c r="GA8" s="88" t="s">
        <v>9</v>
      </c>
      <c r="GB8" s="88"/>
    </row>
    <row r="9" spans="1:184" x14ac:dyDescent="0.2">
      <c r="A9" s="1" t="s">
        <v>22</v>
      </c>
      <c r="B9" s="3">
        <v>26</v>
      </c>
      <c r="R9" s="57"/>
      <c r="S9" s="58"/>
      <c r="T9" s="59"/>
      <c r="Z9">
        <f t="shared" si="4"/>
        <v>29</v>
      </c>
      <c r="AA9" s="27">
        <f t="shared" si="5"/>
        <v>29</v>
      </c>
      <c r="AB9" s="31">
        <f t="shared" si="0"/>
        <v>0.1</v>
      </c>
      <c r="AC9" s="31">
        <f t="shared" si="6"/>
        <v>0.04</v>
      </c>
      <c r="AD9" s="28">
        <f t="shared" si="7"/>
        <v>69741.567999999999</v>
      </c>
      <c r="AE9" s="10">
        <f t="shared" si="8"/>
        <v>0.03</v>
      </c>
      <c r="AF9" s="28">
        <f t="shared" si="9"/>
        <v>131127.24</v>
      </c>
      <c r="AG9" s="28">
        <f t="shared" si="1"/>
        <v>69741.567999999999</v>
      </c>
      <c r="AH9" s="28" t="str">
        <f t="shared" si="2"/>
        <v/>
      </c>
      <c r="AI9" s="28" t="str">
        <f t="shared" si="10"/>
        <v/>
      </c>
      <c r="AJ9" s="28">
        <f t="shared" si="11"/>
        <v>69741.567999999999</v>
      </c>
      <c r="AK9" s="28">
        <f t="shared" si="3"/>
        <v>62767.411200000002</v>
      </c>
      <c r="AL9" s="28" t="str">
        <f t="shared" si="12"/>
        <v/>
      </c>
      <c r="AM9" s="28">
        <f t="shared" si="13"/>
        <v>62767.411200000002</v>
      </c>
      <c r="AN9" s="28">
        <f t="shared" si="14"/>
        <v>6974.156799999997</v>
      </c>
      <c r="AO9" s="32">
        <f t="shared" si="15"/>
        <v>7.4999999999999997E-2</v>
      </c>
      <c r="AP9" s="33">
        <f t="shared" si="16"/>
        <v>35073.756249999991</v>
      </c>
      <c r="AQ9" s="34">
        <f t="shared" si="17"/>
        <v>6974.156799999997</v>
      </c>
      <c r="AR9" s="28">
        <f t="shared" si="18"/>
        <v>42047.913049999988</v>
      </c>
      <c r="AT9">
        <v>-0.42807073441508692</v>
      </c>
      <c r="AU9">
        <v>-0.61901687331555877</v>
      </c>
      <c r="AV9">
        <v>0.17162165022455156</v>
      </c>
      <c r="AY9" s="57"/>
      <c r="AZ9" s="58"/>
      <c r="BA9" s="59"/>
      <c r="BK9" s="54">
        <v>0.1</v>
      </c>
      <c r="BL9" s="28">
        <v>393358.52297310706</v>
      </c>
      <c r="DF9" s="38"/>
      <c r="DG9" s="28"/>
      <c r="DH9" s="10"/>
      <c r="FA9" s="1" t="s">
        <v>22</v>
      </c>
      <c r="FB9" s="3">
        <v>26</v>
      </c>
      <c r="GA9" s="1" t="s">
        <v>22</v>
      </c>
      <c r="GB9" s="3">
        <v>26</v>
      </c>
    </row>
    <row r="10" spans="1:184" x14ac:dyDescent="0.2">
      <c r="A10" s="1" t="s">
        <v>25</v>
      </c>
      <c r="B10" s="5">
        <v>62000</v>
      </c>
      <c r="R10" s="57"/>
      <c r="S10" s="58"/>
      <c r="T10" s="59"/>
      <c r="Z10">
        <f t="shared" si="4"/>
        <v>30</v>
      </c>
      <c r="AA10" s="27">
        <f t="shared" si="5"/>
        <v>30</v>
      </c>
      <c r="AB10" s="31">
        <f t="shared" si="0"/>
        <v>0.1</v>
      </c>
      <c r="AC10" s="31">
        <f t="shared" si="6"/>
        <v>0.04</v>
      </c>
      <c r="AD10" s="28">
        <f t="shared" si="7"/>
        <v>72531.230720000007</v>
      </c>
      <c r="AE10" s="10">
        <f t="shared" si="8"/>
        <v>0.03</v>
      </c>
      <c r="AF10" s="28">
        <f t="shared" si="9"/>
        <v>135061.05719999998</v>
      </c>
      <c r="AG10" s="28">
        <f t="shared" si="1"/>
        <v>72531.230720000007</v>
      </c>
      <c r="AH10" s="28" t="str">
        <f t="shared" si="2"/>
        <v/>
      </c>
      <c r="AI10" s="28" t="str">
        <f t="shared" si="10"/>
        <v/>
      </c>
      <c r="AJ10" s="28">
        <f t="shared" si="11"/>
        <v>72531.230720000007</v>
      </c>
      <c r="AK10" s="28">
        <f t="shared" si="3"/>
        <v>65278.107648000005</v>
      </c>
      <c r="AL10" s="28" t="str">
        <f t="shared" si="12"/>
        <v/>
      </c>
      <c r="AM10" s="28">
        <f t="shared" si="13"/>
        <v>65278.107648000005</v>
      </c>
      <c r="AN10" s="28">
        <f t="shared" si="14"/>
        <v>7253.1230720000021</v>
      </c>
      <c r="AO10" s="32">
        <f t="shared" si="15"/>
        <v>7.4999999999999997E-2</v>
      </c>
      <c r="AP10" s="33">
        <f t="shared" si="16"/>
        <v>45201.506528749982</v>
      </c>
      <c r="AQ10" s="34">
        <f t="shared" si="17"/>
        <v>7253.1230720000021</v>
      </c>
      <c r="AR10" s="28">
        <f t="shared" si="18"/>
        <v>52454.629600749984</v>
      </c>
      <c r="AT10">
        <v>1.4487613952951506</v>
      </c>
      <c r="AU10">
        <v>1.2252894521225244</v>
      </c>
      <c r="AV10">
        <v>1.585749487276189</v>
      </c>
      <c r="AY10" s="57"/>
      <c r="AZ10" s="58"/>
      <c r="BA10" s="59"/>
      <c r="BK10" s="54">
        <v>0.125</v>
      </c>
      <c r="BL10" s="28">
        <v>-1824872.732664736</v>
      </c>
      <c r="DA10" s="35" t="s">
        <v>69</v>
      </c>
      <c r="DB10" s="36">
        <f>B16-CurrentAge</f>
        <v>59</v>
      </c>
      <c r="DF10" s="38"/>
      <c r="DG10" s="28"/>
      <c r="DH10" s="10"/>
      <c r="FA10" s="1" t="s">
        <v>25</v>
      </c>
      <c r="FB10" s="5">
        <v>62000</v>
      </c>
      <c r="GA10" s="1" t="s">
        <v>25</v>
      </c>
      <c r="GB10" s="5">
        <v>62000</v>
      </c>
    </row>
    <row r="11" spans="1:184" x14ac:dyDescent="0.2">
      <c r="A11" s="1" t="s">
        <v>60</v>
      </c>
      <c r="B11" s="6">
        <v>0.1</v>
      </c>
      <c r="R11" s="57"/>
      <c r="S11" s="58"/>
      <c r="T11" s="59"/>
      <c r="Z11">
        <f t="shared" si="4"/>
        <v>31</v>
      </c>
      <c r="AA11" s="27">
        <f t="shared" si="5"/>
        <v>31</v>
      </c>
      <c r="AB11" s="31">
        <f t="shared" si="0"/>
        <v>0.1</v>
      </c>
      <c r="AC11" s="31">
        <f t="shared" si="6"/>
        <v>0.04</v>
      </c>
      <c r="AD11" s="28">
        <f t="shared" si="7"/>
        <v>75432.479948800014</v>
      </c>
      <c r="AE11" s="10">
        <f t="shared" si="8"/>
        <v>0.03</v>
      </c>
      <c r="AF11" s="28">
        <f t="shared" si="9"/>
        <v>139112.888916</v>
      </c>
      <c r="AG11" s="28">
        <f t="shared" si="1"/>
        <v>75432.479948800014</v>
      </c>
      <c r="AH11" s="28" t="str">
        <f t="shared" si="2"/>
        <v/>
      </c>
      <c r="AI11" s="28" t="str">
        <f t="shared" si="10"/>
        <v/>
      </c>
      <c r="AJ11" s="28">
        <f t="shared" si="11"/>
        <v>75432.479948800014</v>
      </c>
      <c r="AK11" s="28">
        <f t="shared" si="3"/>
        <v>67889.231953920011</v>
      </c>
      <c r="AL11" s="28" t="str">
        <f t="shared" si="12"/>
        <v/>
      </c>
      <c r="AM11" s="28">
        <f t="shared" si="13"/>
        <v>67889.231953920011</v>
      </c>
      <c r="AN11" s="28">
        <f t="shared" si="14"/>
        <v>7543.2479948800028</v>
      </c>
      <c r="AO11" s="32">
        <f t="shared" si="15"/>
        <v>7.4999999999999997E-2</v>
      </c>
      <c r="AP11" s="33">
        <f t="shared" si="16"/>
        <v>56388.726820806231</v>
      </c>
      <c r="AQ11" s="34">
        <f t="shared" si="17"/>
        <v>7543.2479948800028</v>
      </c>
      <c r="AR11" s="28">
        <f t="shared" si="18"/>
        <v>63931.974815686233</v>
      </c>
      <c r="AT11">
        <v>-0.59821104514412582</v>
      </c>
      <c r="AU11">
        <v>-0.45200522436061874</v>
      </c>
      <c r="AV11">
        <v>1.8935043044621125</v>
      </c>
      <c r="AY11" s="57"/>
      <c r="AZ11" s="58"/>
      <c r="BA11" s="59"/>
      <c r="BK11" s="54">
        <v>0.15</v>
      </c>
      <c r="BL11" s="28">
        <v>-4043103.9883025871</v>
      </c>
      <c r="DF11" s="38"/>
      <c r="DG11" s="28"/>
      <c r="DH11" s="10"/>
      <c r="FA11" s="1" t="s">
        <v>60</v>
      </c>
      <c r="FB11" s="6">
        <v>0.1</v>
      </c>
      <c r="GA11" s="1" t="s">
        <v>60</v>
      </c>
      <c r="GB11" s="6">
        <v>0.1</v>
      </c>
    </row>
    <row r="12" spans="1:184" x14ac:dyDescent="0.2">
      <c r="A12" s="1" t="s">
        <v>26</v>
      </c>
      <c r="B12" s="5">
        <v>16432</v>
      </c>
      <c r="R12" s="57"/>
      <c r="S12" s="58"/>
      <c r="T12" s="59"/>
      <c r="Z12">
        <f t="shared" si="4"/>
        <v>32</v>
      </c>
      <c r="AA12" s="27">
        <f t="shared" si="5"/>
        <v>32</v>
      </c>
      <c r="AB12" s="31">
        <f t="shared" si="0"/>
        <v>0.1</v>
      </c>
      <c r="AC12" s="31">
        <f t="shared" si="6"/>
        <v>0.04</v>
      </c>
      <c r="AD12" s="28">
        <f t="shared" si="7"/>
        <v>78449.779146752015</v>
      </c>
      <c r="AE12" s="10">
        <f t="shared" si="8"/>
        <v>0.03</v>
      </c>
      <c r="AF12" s="28">
        <f t="shared" si="9"/>
        <v>143286.27558347999</v>
      </c>
      <c r="AG12" s="28">
        <f t="shared" si="1"/>
        <v>78449.779146752015</v>
      </c>
      <c r="AH12" s="28" t="str">
        <f t="shared" si="2"/>
        <v/>
      </c>
      <c r="AI12" s="28" t="str">
        <f t="shared" si="10"/>
        <v/>
      </c>
      <c r="AJ12" s="28">
        <f t="shared" si="11"/>
        <v>78449.779146752015</v>
      </c>
      <c r="AK12" s="28">
        <f t="shared" si="3"/>
        <v>70604.801232076818</v>
      </c>
      <c r="AL12" s="28" t="str">
        <f t="shared" si="12"/>
        <v/>
      </c>
      <c r="AM12" s="28">
        <f t="shared" si="13"/>
        <v>70604.801232076818</v>
      </c>
      <c r="AN12" s="28">
        <f t="shared" si="14"/>
        <v>7844.9779146751971</v>
      </c>
      <c r="AO12" s="32">
        <f t="shared" si="15"/>
        <v>7.4999999999999997E-2</v>
      </c>
      <c r="AP12" s="33">
        <f t="shared" si="16"/>
        <v>68726.872926862692</v>
      </c>
      <c r="AQ12" s="34">
        <f t="shared" si="17"/>
        <v>7844.9779146751971</v>
      </c>
      <c r="AR12" s="28">
        <f t="shared" si="18"/>
        <v>76571.850841537889</v>
      </c>
      <c r="AT12">
        <v>-0.38708776628482156</v>
      </c>
      <c r="AU12">
        <v>0.39038923205225728</v>
      </c>
      <c r="AV12">
        <v>0.80272684499504976</v>
      </c>
      <c r="AY12" s="57"/>
      <c r="AZ12" s="58"/>
      <c r="BA12" s="59"/>
      <c r="BK12" s="54">
        <v>0.17499999999999999</v>
      </c>
      <c r="BL12" s="28">
        <v>-6261335.2439404465</v>
      </c>
      <c r="DA12" s="95" t="s">
        <v>70</v>
      </c>
      <c r="DB12" s="24" t="s">
        <v>17</v>
      </c>
      <c r="DC12" s="10">
        <f>SUMPRODUCT($B$34:$B$36,$C$34:$C$36)</f>
        <v>7.4999999999999997E-2</v>
      </c>
      <c r="DF12" s="38"/>
      <c r="DG12" s="28"/>
      <c r="DH12" s="10"/>
      <c r="FA12" s="1" t="s">
        <v>26</v>
      </c>
      <c r="FB12" s="5">
        <v>16432</v>
      </c>
      <c r="GA12" s="1" t="s">
        <v>26</v>
      </c>
      <c r="GB12" s="5">
        <v>16432</v>
      </c>
    </row>
    <row r="13" spans="1:184" x14ac:dyDescent="0.2">
      <c r="R13" s="57"/>
      <c r="S13" s="58"/>
      <c r="T13" s="59"/>
      <c r="Z13">
        <f t="shared" si="4"/>
        <v>33</v>
      </c>
      <c r="AA13" s="27">
        <f t="shared" si="5"/>
        <v>33</v>
      </c>
      <c r="AB13" s="31">
        <f t="shared" si="0"/>
        <v>0.1</v>
      </c>
      <c r="AC13" s="31">
        <f t="shared" si="6"/>
        <v>0.04</v>
      </c>
      <c r="AD13" s="28">
        <f t="shared" si="7"/>
        <v>81587.770312622102</v>
      </c>
      <c r="AE13" s="10">
        <f t="shared" si="8"/>
        <v>0.03</v>
      </c>
      <c r="AF13" s="28">
        <f t="shared" si="9"/>
        <v>147584.8638509844</v>
      </c>
      <c r="AG13" s="28">
        <f t="shared" si="1"/>
        <v>81587.770312622102</v>
      </c>
      <c r="AH13" s="28" t="str">
        <f t="shared" si="2"/>
        <v/>
      </c>
      <c r="AI13" s="28" t="str">
        <f t="shared" si="10"/>
        <v/>
      </c>
      <c r="AJ13" s="28">
        <f t="shared" si="11"/>
        <v>81587.770312622102</v>
      </c>
      <c r="AK13" s="28">
        <f t="shared" si="3"/>
        <v>73428.993281359901</v>
      </c>
      <c r="AL13" s="28" t="str">
        <f t="shared" si="12"/>
        <v/>
      </c>
      <c r="AM13" s="28">
        <f t="shared" si="13"/>
        <v>73428.993281359901</v>
      </c>
      <c r="AN13" s="28">
        <f t="shared" si="14"/>
        <v>8158.7770312622015</v>
      </c>
      <c r="AO13" s="32">
        <f t="shared" si="15"/>
        <v>7.4999999999999997E-2</v>
      </c>
      <c r="AP13" s="33">
        <f t="shared" si="16"/>
        <v>82314.739654653225</v>
      </c>
      <c r="AQ13" s="34">
        <f t="shared" si="17"/>
        <v>8158.7770312622015</v>
      </c>
      <c r="AR13" s="28">
        <f t="shared" si="18"/>
        <v>90473.516685915427</v>
      </c>
      <c r="AT13">
        <v>0.43193040255573578</v>
      </c>
      <c r="AU13">
        <v>-0.26725956558948383</v>
      </c>
      <c r="AV13">
        <v>1.5225441529764794</v>
      </c>
      <c r="AY13" s="57"/>
      <c r="AZ13" s="58"/>
      <c r="BA13" s="59"/>
      <c r="BK13" s="54">
        <v>0.2</v>
      </c>
      <c r="BL13" s="28">
        <v>-8479566.4995782785</v>
      </c>
      <c r="DA13" s="95"/>
      <c r="DB13" s="24" t="s">
        <v>14</v>
      </c>
      <c r="DC13" s="10">
        <f>SQRT($B$34^2*$D$34^2+$B$35^2*$D$35^2+$B$36^2*$D$36^2+2*$B$34*$B$35*$D$34*$D$35*$F$34+2*$B$35*$B$36*$D$35*$D$36*$G$35+2*$B$34*$B$36*$D$34*$D$36*$G$34)</f>
        <v>0.12855846918814801</v>
      </c>
      <c r="DF13" s="38"/>
      <c r="DG13" s="28"/>
      <c r="DH13" s="10"/>
    </row>
    <row r="14" spans="1:184" x14ac:dyDescent="0.2">
      <c r="A14" s="88" t="s">
        <v>19</v>
      </c>
      <c r="B14" s="88"/>
      <c r="R14" s="57"/>
      <c r="S14" s="58"/>
      <c r="T14" s="59"/>
      <c r="Z14">
        <f t="shared" si="4"/>
        <v>34</v>
      </c>
      <c r="AA14" s="27">
        <f t="shared" si="5"/>
        <v>34</v>
      </c>
      <c r="AB14" s="31">
        <f t="shared" si="0"/>
        <v>0.1</v>
      </c>
      <c r="AC14" s="31">
        <f t="shared" si="6"/>
        <v>0.04</v>
      </c>
      <c r="AD14" s="28">
        <f t="shared" si="7"/>
        <v>84851.281125126989</v>
      </c>
      <c r="AE14" s="10">
        <f t="shared" si="8"/>
        <v>0.03</v>
      </c>
      <c r="AF14" s="28">
        <f t="shared" si="9"/>
        <v>152012.40976651394</v>
      </c>
      <c r="AG14" s="28">
        <f t="shared" si="1"/>
        <v>84851.281125126989</v>
      </c>
      <c r="AH14" s="28" t="str">
        <f t="shared" si="2"/>
        <v/>
      </c>
      <c r="AI14" s="28" t="str">
        <f t="shared" si="10"/>
        <v/>
      </c>
      <c r="AJ14" s="28">
        <f t="shared" si="11"/>
        <v>84851.281125126989</v>
      </c>
      <c r="AK14" s="28">
        <f t="shared" si="3"/>
        <v>76366.15301261429</v>
      </c>
      <c r="AL14" s="28" t="str">
        <f t="shared" si="12"/>
        <v/>
      </c>
      <c r="AM14" s="28">
        <f t="shared" si="13"/>
        <v>76366.15301261429</v>
      </c>
      <c r="AN14" s="28">
        <f t="shared" si="14"/>
        <v>8485.1281125126989</v>
      </c>
      <c r="AO14" s="32">
        <f t="shared" si="15"/>
        <v>7.4999999999999997E-2</v>
      </c>
      <c r="AP14" s="33">
        <f t="shared" si="16"/>
        <v>97259.030437359077</v>
      </c>
      <c r="AQ14" s="34">
        <f t="shared" si="17"/>
        <v>8485.1281125126989</v>
      </c>
      <c r="AR14" s="28">
        <f t="shared" si="18"/>
        <v>105744.15854987178</v>
      </c>
      <c r="AT14">
        <v>-0.80833615356823429</v>
      </c>
      <c r="AU14">
        <v>2.2180574887897819</v>
      </c>
      <c r="AV14">
        <v>-2.2607764549320564E-2</v>
      </c>
      <c r="AY14" s="57"/>
      <c r="AZ14" s="58"/>
      <c r="BA14" s="59"/>
      <c r="BK14" s="54">
        <v>0.22500000000000001</v>
      </c>
      <c r="BL14" s="28">
        <v>-10697797.755216151</v>
      </c>
      <c r="DF14" s="38"/>
      <c r="DG14" s="28"/>
      <c r="DH14" s="10"/>
      <c r="FA14" s="88" t="s">
        <v>19</v>
      </c>
      <c r="FB14" s="88"/>
      <c r="GA14" s="88" t="s">
        <v>19</v>
      </c>
      <c r="GB14" s="88"/>
    </row>
    <row r="15" spans="1:184" x14ac:dyDescent="0.2">
      <c r="A15" s="1" t="s">
        <v>24</v>
      </c>
      <c r="B15" s="3">
        <v>60</v>
      </c>
      <c r="R15" s="57"/>
      <c r="S15" s="58"/>
      <c r="T15" s="59"/>
      <c r="Z15">
        <f t="shared" si="4"/>
        <v>35</v>
      </c>
      <c r="AA15" s="27">
        <f t="shared" si="5"/>
        <v>35</v>
      </c>
      <c r="AB15" s="31">
        <f t="shared" si="0"/>
        <v>0.1</v>
      </c>
      <c r="AC15" s="31">
        <f t="shared" si="6"/>
        <v>0.04</v>
      </c>
      <c r="AD15" s="28">
        <f t="shared" si="7"/>
        <v>88245.332370132077</v>
      </c>
      <c r="AE15" s="10">
        <f t="shared" si="8"/>
        <v>0.03</v>
      </c>
      <c r="AF15" s="28">
        <f t="shared" si="9"/>
        <v>156572.78205950937</v>
      </c>
      <c r="AG15" s="28">
        <f t="shared" si="1"/>
        <v>88245.332370132077</v>
      </c>
      <c r="AH15" s="28" t="str">
        <f t="shared" si="2"/>
        <v/>
      </c>
      <c r="AI15" s="28" t="str">
        <f t="shared" si="10"/>
        <v/>
      </c>
      <c r="AJ15" s="28">
        <f t="shared" si="11"/>
        <v>88245.332370132077</v>
      </c>
      <c r="AK15" s="28">
        <f t="shared" si="3"/>
        <v>79420.799133118868</v>
      </c>
      <c r="AL15" s="28" t="str">
        <f t="shared" si="12"/>
        <v/>
      </c>
      <c r="AM15" s="28">
        <f t="shared" si="13"/>
        <v>79420.799133118868</v>
      </c>
      <c r="AN15" s="28">
        <f t="shared" si="14"/>
        <v>8824.5332370132091</v>
      </c>
      <c r="AO15" s="32">
        <f t="shared" si="15"/>
        <v>7.4999999999999997E-2</v>
      </c>
      <c r="AP15" s="33">
        <f t="shared" si="16"/>
        <v>113674.97044111215</v>
      </c>
      <c r="AQ15" s="34">
        <f t="shared" si="17"/>
        <v>8824.5332370132091</v>
      </c>
      <c r="AR15" s="28">
        <f t="shared" si="18"/>
        <v>122499.50367812536</v>
      </c>
      <c r="AT15">
        <v>-1.3740100257564336</v>
      </c>
      <c r="AU15">
        <v>0.35732682590605691</v>
      </c>
      <c r="AV15">
        <v>-8.7993612396530807E-4</v>
      </c>
      <c r="AY15" s="57"/>
      <c r="AZ15" s="58"/>
      <c r="BA15" s="59"/>
      <c r="BK15" s="54">
        <v>0.25</v>
      </c>
      <c r="BL15" s="28">
        <v>-12916029.010853987</v>
      </c>
      <c r="DA15" s="35" t="s">
        <v>72</v>
      </c>
      <c r="DB15" s="10">
        <v>0.1</v>
      </c>
      <c r="DF15" s="38"/>
      <c r="DG15" s="28"/>
      <c r="DH15" s="10"/>
      <c r="FA15" s="1" t="s">
        <v>24</v>
      </c>
      <c r="FB15" s="3">
        <v>60</v>
      </c>
      <c r="GA15" s="1" t="s">
        <v>24</v>
      </c>
      <c r="GB15" s="3">
        <v>60</v>
      </c>
    </row>
    <row r="16" spans="1:184" x14ac:dyDescent="0.2">
      <c r="A16" s="1" t="s">
        <v>23</v>
      </c>
      <c r="B16" s="3">
        <v>85</v>
      </c>
      <c r="R16" s="57"/>
      <c r="S16" s="58"/>
      <c r="T16" s="59"/>
      <c r="Z16">
        <f t="shared" si="4"/>
        <v>36</v>
      </c>
      <c r="AA16" s="27">
        <f t="shared" si="5"/>
        <v>36</v>
      </c>
      <c r="AB16" s="31">
        <f t="shared" si="0"/>
        <v>0.1</v>
      </c>
      <c r="AC16" s="31">
        <f t="shared" si="6"/>
        <v>0.04</v>
      </c>
      <c r="AD16" s="28">
        <f t="shared" si="7"/>
        <v>91775.145664937358</v>
      </c>
      <c r="AE16" s="10">
        <f t="shared" si="8"/>
        <v>0.03</v>
      </c>
      <c r="AF16" s="28">
        <f t="shared" si="9"/>
        <v>161269.96552129465</v>
      </c>
      <c r="AG16" s="28">
        <f t="shared" si="1"/>
        <v>91775.145664937358</v>
      </c>
      <c r="AH16" s="28" t="str">
        <f t="shared" si="2"/>
        <v/>
      </c>
      <c r="AI16" s="28" t="str">
        <f t="shared" si="10"/>
        <v/>
      </c>
      <c r="AJ16" s="28">
        <f t="shared" si="11"/>
        <v>91775.145664937358</v>
      </c>
      <c r="AK16" s="28">
        <f t="shared" si="3"/>
        <v>82597.631098443628</v>
      </c>
      <c r="AL16" s="28" t="str">
        <f t="shared" si="12"/>
        <v/>
      </c>
      <c r="AM16" s="28">
        <f t="shared" si="13"/>
        <v>82597.631098443628</v>
      </c>
      <c r="AN16" s="28">
        <f t="shared" si="14"/>
        <v>9177.5145664937299</v>
      </c>
      <c r="AO16" s="32">
        <f t="shared" si="15"/>
        <v>7.4999999999999997E-2</v>
      </c>
      <c r="AP16" s="33">
        <f t="shared" si="16"/>
        <v>131686.96645398476</v>
      </c>
      <c r="AQ16" s="34">
        <f t="shared" si="17"/>
        <v>9177.5145664937299</v>
      </c>
      <c r="AR16" s="28">
        <f t="shared" si="18"/>
        <v>140864.48102047847</v>
      </c>
      <c r="AT16">
        <v>-0.68255531004979275</v>
      </c>
      <c r="AU16">
        <v>0.89394916358287446</v>
      </c>
      <c r="AV16">
        <v>0.84035718828090467</v>
      </c>
      <c r="AY16" s="57"/>
      <c r="AZ16" s="58"/>
      <c r="BA16" s="59"/>
      <c r="BK16" s="54">
        <v>0.27500000000000002</v>
      </c>
      <c r="BL16" s="28">
        <v>-15134260.266491845</v>
      </c>
      <c r="DA16" s="35" t="s">
        <v>73</v>
      </c>
      <c r="DB16" s="10">
        <v>0.20606148657477819</v>
      </c>
      <c r="DF16" s="38"/>
      <c r="DG16" s="28"/>
      <c r="DH16" s="10"/>
      <c r="FA16" s="1" t="s">
        <v>23</v>
      </c>
      <c r="FB16" s="3">
        <v>85</v>
      </c>
      <c r="GA16" s="1" t="s">
        <v>23</v>
      </c>
      <c r="GB16" s="3">
        <v>85</v>
      </c>
    </row>
    <row r="17" spans="1:192" x14ac:dyDescent="0.2">
      <c r="A17" s="1" t="s">
        <v>51</v>
      </c>
      <c r="B17" s="4">
        <v>0.6</v>
      </c>
      <c r="R17" s="57"/>
      <c r="S17" s="58"/>
      <c r="T17" s="59"/>
      <c r="Z17">
        <f t="shared" si="4"/>
        <v>37</v>
      </c>
      <c r="AA17" s="27">
        <f t="shared" si="5"/>
        <v>37</v>
      </c>
      <c r="AB17" s="31">
        <f t="shared" si="0"/>
        <v>0.1</v>
      </c>
      <c r="AC17" s="31">
        <f t="shared" si="6"/>
        <v>0.04</v>
      </c>
      <c r="AD17" s="28">
        <f t="shared" si="7"/>
        <v>95446.151491534853</v>
      </c>
      <c r="AE17" s="10">
        <f t="shared" si="8"/>
        <v>0.03</v>
      </c>
      <c r="AF17" s="28">
        <f t="shared" si="9"/>
        <v>166108.06448693349</v>
      </c>
      <c r="AG17" s="28">
        <f t="shared" si="1"/>
        <v>95446.151491534853</v>
      </c>
      <c r="AH17" s="28" t="str">
        <f t="shared" si="2"/>
        <v/>
      </c>
      <c r="AI17" s="28" t="str">
        <f t="shared" si="10"/>
        <v/>
      </c>
      <c r="AJ17" s="28">
        <f t="shared" si="11"/>
        <v>95446.151491534853</v>
      </c>
      <c r="AK17" s="28">
        <f t="shared" si="3"/>
        <v>85901.536342381369</v>
      </c>
      <c r="AL17" s="28" t="str">
        <f t="shared" si="12"/>
        <v/>
      </c>
      <c r="AM17" s="28">
        <f t="shared" si="13"/>
        <v>85901.536342381369</v>
      </c>
      <c r="AN17" s="28">
        <f t="shared" si="14"/>
        <v>9544.6151491534838</v>
      </c>
      <c r="AO17" s="32">
        <f t="shared" si="15"/>
        <v>7.4999999999999997E-2</v>
      </c>
      <c r="AP17" s="33">
        <f t="shared" si="16"/>
        <v>151429.31709701434</v>
      </c>
      <c r="AQ17" s="34">
        <f t="shared" si="17"/>
        <v>9544.6151491534838</v>
      </c>
      <c r="AR17" s="28">
        <f t="shared" si="18"/>
        <v>160973.93224616782</v>
      </c>
      <c r="AT17">
        <v>1.5210844139801338</v>
      </c>
      <c r="AU17">
        <v>-0.52239101933082566</v>
      </c>
      <c r="AV17">
        <v>-0.72349621405010112</v>
      </c>
      <c r="AY17" s="57"/>
      <c r="AZ17" s="58"/>
      <c r="BA17" s="59"/>
      <c r="BK17" s="54">
        <v>0.3</v>
      </c>
      <c r="BL17" s="28">
        <v>-17352491.522129696</v>
      </c>
      <c r="DA17" s="35" t="s">
        <v>63</v>
      </c>
      <c r="DB17" s="28">
        <f ca="1">J24-J25</f>
        <v>393358.52297310706</v>
      </c>
      <c r="DF17" s="38"/>
      <c r="DG17" s="28"/>
      <c r="DH17" s="10"/>
      <c r="FA17" s="1" t="s">
        <v>51</v>
      </c>
      <c r="FB17" s="4">
        <v>0.6</v>
      </c>
      <c r="GA17" s="1" t="s">
        <v>51</v>
      </c>
      <c r="GB17" s="4">
        <v>0.6</v>
      </c>
    </row>
    <row r="18" spans="1:192" x14ac:dyDescent="0.2">
      <c r="R18" s="57"/>
      <c r="S18" s="58"/>
      <c r="T18" s="59"/>
      <c r="Z18">
        <f t="shared" si="4"/>
        <v>38</v>
      </c>
      <c r="AA18" s="27">
        <f t="shared" si="5"/>
        <v>38</v>
      </c>
      <c r="AB18" s="31">
        <f t="shared" si="0"/>
        <v>0.1</v>
      </c>
      <c r="AC18" s="31">
        <f t="shared" si="6"/>
        <v>0.04</v>
      </c>
      <c r="AD18" s="28">
        <f t="shared" si="7"/>
        <v>99263.997551196255</v>
      </c>
      <c r="AE18" s="10">
        <f t="shared" si="8"/>
        <v>0.03</v>
      </c>
      <c r="AF18" s="28">
        <f t="shared" si="9"/>
        <v>171091.30642154149</v>
      </c>
      <c r="AG18" s="28">
        <f t="shared" si="1"/>
        <v>99263.997551196255</v>
      </c>
      <c r="AH18" s="28" t="str">
        <f t="shared" si="2"/>
        <v/>
      </c>
      <c r="AI18" s="28" t="str">
        <f t="shared" si="10"/>
        <v/>
      </c>
      <c r="AJ18" s="28">
        <f t="shared" si="11"/>
        <v>99263.997551196255</v>
      </c>
      <c r="AK18" s="28">
        <f t="shared" si="3"/>
        <v>89337.597796076632</v>
      </c>
      <c r="AL18" s="28" t="str">
        <f t="shared" si="12"/>
        <v/>
      </c>
      <c r="AM18" s="28">
        <f t="shared" si="13"/>
        <v>89337.597796076632</v>
      </c>
      <c r="AN18" s="28">
        <f t="shared" si="14"/>
        <v>9926.3997551196226</v>
      </c>
      <c r="AO18" s="32">
        <f t="shared" si="15"/>
        <v>7.4999999999999997E-2</v>
      </c>
      <c r="AP18" s="33">
        <f t="shared" si="16"/>
        <v>173046.9771646304</v>
      </c>
      <c r="AQ18" s="34">
        <f t="shared" si="17"/>
        <v>9926.3997551196226</v>
      </c>
      <c r="AR18" s="28">
        <f t="shared" si="18"/>
        <v>182973.37691975001</v>
      </c>
      <c r="AT18">
        <v>0.84122802945785224</v>
      </c>
      <c r="AU18">
        <v>-1.0580174603092019</v>
      </c>
      <c r="AV18">
        <v>-1.5436035027960315</v>
      </c>
      <c r="AY18" s="57"/>
      <c r="AZ18" s="58"/>
      <c r="BA18" s="59"/>
      <c r="BK18" s="54">
        <v>0.32500000000000001</v>
      </c>
      <c r="BL18" s="28">
        <v>-19570722.777767513</v>
      </c>
      <c r="DF18" s="38"/>
      <c r="DG18" s="28"/>
      <c r="DH18" s="10"/>
    </row>
    <row r="19" spans="1:192" ht="15" customHeight="1" x14ac:dyDescent="0.2">
      <c r="A19" s="1" t="s">
        <v>50</v>
      </c>
      <c r="B19" s="5">
        <v>120000</v>
      </c>
      <c r="R19" s="57"/>
      <c r="S19" s="58"/>
      <c r="T19" s="59"/>
      <c r="Z19">
        <f t="shared" si="4"/>
        <v>39</v>
      </c>
      <c r="AA19" s="27">
        <f t="shared" si="5"/>
        <v>39</v>
      </c>
      <c r="AB19" s="31">
        <f t="shared" si="0"/>
        <v>0.1</v>
      </c>
      <c r="AC19" s="31">
        <f t="shared" si="6"/>
        <v>0.04</v>
      </c>
      <c r="AD19" s="28">
        <f t="shared" si="7"/>
        <v>103234.55745324411</v>
      </c>
      <c r="AE19" s="10">
        <f t="shared" si="8"/>
        <v>0.03</v>
      </c>
      <c r="AF19" s="28">
        <f t="shared" si="9"/>
        <v>176224.04561418775</v>
      </c>
      <c r="AG19" s="28">
        <f t="shared" si="1"/>
        <v>103234.55745324411</v>
      </c>
      <c r="AH19" s="28" t="str">
        <f t="shared" si="2"/>
        <v/>
      </c>
      <c r="AI19" s="28" t="str">
        <f t="shared" si="10"/>
        <v/>
      </c>
      <c r="AJ19" s="28">
        <f t="shared" si="11"/>
        <v>103234.55745324411</v>
      </c>
      <c r="AK19" s="28">
        <f t="shared" si="3"/>
        <v>92911.101707919704</v>
      </c>
      <c r="AL19" s="28" t="str">
        <f t="shared" si="12"/>
        <v/>
      </c>
      <c r="AM19" s="28">
        <f t="shared" si="13"/>
        <v>92911.101707919704</v>
      </c>
      <c r="AN19" s="28">
        <f t="shared" si="14"/>
        <v>10323.455745324405</v>
      </c>
      <c r="AO19" s="32">
        <f t="shared" si="15"/>
        <v>7.4999999999999997E-2</v>
      </c>
      <c r="AP19" s="33">
        <f t="shared" si="16"/>
        <v>196696.38018873124</v>
      </c>
      <c r="AQ19" s="34">
        <f t="shared" si="17"/>
        <v>10323.455745324405</v>
      </c>
      <c r="AR19" s="28">
        <f t="shared" si="18"/>
        <v>207019.83593405565</v>
      </c>
      <c r="AT19">
        <v>0.63017409956955817</v>
      </c>
      <c r="AU19">
        <v>-1.2471355148591101</v>
      </c>
      <c r="AV19">
        <v>-0.45786009650328197</v>
      </c>
      <c r="AY19" s="57"/>
      <c r="AZ19" s="58"/>
      <c r="BA19" s="59"/>
      <c r="BK19" s="54">
        <v>0.35</v>
      </c>
      <c r="BL19" s="28">
        <v>-21788954.033405386</v>
      </c>
      <c r="DA19" s="96" t="s">
        <v>82</v>
      </c>
      <c r="DB19" s="38">
        <v>61</v>
      </c>
      <c r="DF19" s="38"/>
      <c r="DG19" s="28"/>
      <c r="DH19" s="10"/>
      <c r="FA19" s="1" t="s">
        <v>50</v>
      </c>
      <c r="FB19" s="5">
        <v>120000</v>
      </c>
      <c r="GA19" s="1" t="s">
        <v>50</v>
      </c>
      <c r="GB19" s="5">
        <v>120000</v>
      </c>
    </row>
    <row r="20" spans="1:192" x14ac:dyDescent="0.2">
      <c r="R20" s="57"/>
      <c r="S20" s="58"/>
      <c r="T20" s="59"/>
      <c r="Z20">
        <f t="shared" si="4"/>
        <v>40</v>
      </c>
      <c r="AA20" s="27">
        <f t="shared" si="5"/>
        <v>40</v>
      </c>
      <c r="AB20" s="31">
        <f t="shared" si="0"/>
        <v>0.1</v>
      </c>
      <c r="AC20" s="31">
        <f t="shared" si="6"/>
        <v>0.04</v>
      </c>
      <c r="AD20" s="28">
        <f t="shared" si="7"/>
        <v>107363.93975137388</v>
      </c>
      <c r="AE20" s="10">
        <f t="shared" si="8"/>
        <v>0.03</v>
      </c>
      <c r="AF20" s="28">
        <f t="shared" si="9"/>
        <v>181510.76698261339</v>
      </c>
      <c r="AG20" s="28">
        <f t="shared" si="1"/>
        <v>107363.93975137388</v>
      </c>
      <c r="AH20" s="28" t="str">
        <f t="shared" si="2"/>
        <v/>
      </c>
      <c r="AI20" s="28" t="str">
        <f t="shared" si="10"/>
        <v/>
      </c>
      <c r="AJ20" s="28">
        <f t="shared" si="11"/>
        <v>107363.93975137388</v>
      </c>
      <c r="AK20" s="28">
        <f t="shared" si="3"/>
        <v>96627.545776236497</v>
      </c>
      <c r="AL20" s="28" t="str">
        <f t="shared" si="12"/>
        <v/>
      </c>
      <c r="AM20" s="28">
        <f t="shared" si="13"/>
        <v>96627.545776236497</v>
      </c>
      <c r="AN20" s="28">
        <f t="shared" si="14"/>
        <v>10736.393975137384</v>
      </c>
      <c r="AO20" s="32">
        <f t="shared" si="15"/>
        <v>7.4999999999999997E-2</v>
      </c>
      <c r="AP20" s="33">
        <f t="shared" si="16"/>
        <v>222546.3236291098</v>
      </c>
      <c r="AQ20" s="34">
        <f t="shared" si="17"/>
        <v>10736.393975137384</v>
      </c>
      <c r="AR20" s="28">
        <f t="shared" si="18"/>
        <v>233282.71760424718</v>
      </c>
      <c r="AT20">
        <v>0.40537543100072071</v>
      </c>
      <c r="AU20">
        <v>-0.57838292377709877</v>
      </c>
      <c r="AV20">
        <v>-0.57811121223494411</v>
      </c>
      <c r="AY20" s="57"/>
      <c r="AZ20" s="58"/>
      <c r="BA20" s="59"/>
      <c r="DA20" s="96"/>
      <c r="DB20" s="38">
        <v>161</v>
      </c>
      <c r="DF20" s="38"/>
      <c r="DG20" s="28"/>
      <c r="DH20" s="10"/>
    </row>
    <row r="21" spans="1:192" x14ac:dyDescent="0.2">
      <c r="A21" s="1" t="s">
        <v>52</v>
      </c>
      <c r="B21" s="3">
        <v>63</v>
      </c>
      <c r="I21" s="121" t="s">
        <v>68</v>
      </c>
      <c r="J21" s="122"/>
      <c r="K21" s="122"/>
      <c r="L21" s="122"/>
      <c r="M21" s="122"/>
      <c r="R21" s="57"/>
      <c r="S21" s="58"/>
      <c r="T21" s="59"/>
      <c r="Z21">
        <f t="shared" si="4"/>
        <v>41</v>
      </c>
      <c r="AA21" s="27">
        <f t="shared" si="5"/>
        <v>41</v>
      </c>
      <c r="AB21" s="31">
        <f t="shared" si="0"/>
        <v>0.1</v>
      </c>
      <c r="AC21" s="31">
        <f t="shared" si="6"/>
        <v>0.04</v>
      </c>
      <c r="AD21" s="28">
        <f t="shared" si="7"/>
        <v>111658.49734142884</v>
      </c>
      <c r="AE21" s="10">
        <f t="shared" si="8"/>
        <v>0.03</v>
      </c>
      <c r="AF21" s="28">
        <f t="shared" si="9"/>
        <v>186956.08999209179</v>
      </c>
      <c r="AG21" s="28">
        <f t="shared" si="1"/>
        <v>111658.49734142884</v>
      </c>
      <c r="AH21" s="28" t="str">
        <f t="shared" si="2"/>
        <v/>
      </c>
      <c r="AI21" s="28" t="str">
        <f t="shared" si="10"/>
        <v/>
      </c>
      <c r="AJ21" s="28">
        <f t="shared" si="11"/>
        <v>111658.49734142884</v>
      </c>
      <c r="AK21" s="28">
        <f t="shared" si="3"/>
        <v>100492.64760728595</v>
      </c>
      <c r="AL21" s="28" t="str">
        <f t="shared" si="12"/>
        <v/>
      </c>
      <c r="AM21" s="28">
        <f t="shared" si="13"/>
        <v>100492.64760728595</v>
      </c>
      <c r="AN21" s="28">
        <f t="shared" si="14"/>
        <v>11165.849734142888</v>
      </c>
      <c r="AO21" s="32">
        <f t="shared" si="15"/>
        <v>7.4999999999999997E-2</v>
      </c>
      <c r="AP21" s="33">
        <f t="shared" si="16"/>
        <v>250778.92142456572</v>
      </c>
      <c r="AQ21" s="34">
        <f t="shared" si="17"/>
        <v>11165.849734142888</v>
      </c>
      <c r="AR21" s="28">
        <f t="shared" si="18"/>
        <v>261944.77115870861</v>
      </c>
      <c r="AT21">
        <v>1.3763747119810432</v>
      </c>
      <c r="AU21">
        <v>1.063388026523171</v>
      </c>
      <c r="AV21">
        <v>0.73778210207819939</v>
      </c>
      <c r="AY21" s="57"/>
      <c r="AZ21" s="58"/>
      <c r="BA21" s="59"/>
      <c r="DA21" s="96"/>
      <c r="DB21" s="40" t="s">
        <v>83</v>
      </c>
      <c r="DF21" s="38"/>
      <c r="DG21" s="28"/>
      <c r="DH21" s="10"/>
      <c r="FA21" s="1" t="s">
        <v>52</v>
      </c>
      <c r="FB21" s="3">
        <v>63</v>
      </c>
      <c r="GA21" s="1" t="s">
        <v>52</v>
      </c>
      <c r="GB21" s="3">
        <v>63</v>
      </c>
    </row>
    <row r="22" spans="1:192" ht="16" thickBot="1" x14ac:dyDescent="0.25">
      <c r="A22" s="1" t="s">
        <v>58</v>
      </c>
      <c r="B22" s="3">
        <v>67</v>
      </c>
      <c r="R22" s="60"/>
      <c r="S22" s="61"/>
      <c r="T22" s="62"/>
      <c r="Z22">
        <f t="shared" si="4"/>
        <v>42</v>
      </c>
      <c r="AA22" s="27">
        <f t="shared" si="5"/>
        <v>42</v>
      </c>
      <c r="AB22" s="31">
        <f t="shared" si="0"/>
        <v>0.1</v>
      </c>
      <c r="AC22" s="31">
        <f t="shared" si="6"/>
        <v>0.04</v>
      </c>
      <c r="AD22" s="28">
        <f t="shared" si="7"/>
        <v>116124.837235086</v>
      </c>
      <c r="AE22" s="10">
        <f t="shared" si="8"/>
        <v>0.03</v>
      </c>
      <c r="AF22" s="28">
        <f t="shared" si="9"/>
        <v>192564.77269185454</v>
      </c>
      <c r="AG22" s="28">
        <f t="shared" si="1"/>
        <v>116124.837235086</v>
      </c>
      <c r="AH22" s="28" t="str">
        <f t="shared" si="2"/>
        <v/>
      </c>
      <c r="AI22" s="28" t="str">
        <f t="shared" si="10"/>
        <v/>
      </c>
      <c r="AJ22" s="28">
        <f t="shared" si="11"/>
        <v>116124.837235086</v>
      </c>
      <c r="AK22" s="28">
        <f t="shared" si="3"/>
        <v>104512.3535115774</v>
      </c>
      <c r="AL22" s="28" t="str">
        <f t="shared" si="12"/>
        <v/>
      </c>
      <c r="AM22" s="28">
        <f t="shared" si="13"/>
        <v>104512.3535115774</v>
      </c>
      <c r="AN22" s="28">
        <f t="shared" si="14"/>
        <v>11612.483723508602</v>
      </c>
      <c r="AO22" s="32">
        <f t="shared" si="15"/>
        <v>7.4999999999999997E-2</v>
      </c>
      <c r="AP22" s="33">
        <f t="shared" si="16"/>
        <v>281590.62899561174</v>
      </c>
      <c r="AQ22" s="34">
        <f t="shared" si="17"/>
        <v>11612.483723508602</v>
      </c>
      <c r="AR22" s="28">
        <f t="shared" si="18"/>
        <v>293203.11271912034</v>
      </c>
      <c r="AT22">
        <v>8.5822193796047941E-2</v>
      </c>
      <c r="AU22">
        <v>-1.3139924703864381</v>
      </c>
      <c r="AV22">
        <v>-0.68642293626908213</v>
      </c>
      <c r="AY22" s="60"/>
      <c r="AZ22" s="61"/>
      <c r="BA22" s="62"/>
      <c r="DF22" s="38"/>
      <c r="DG22" s="28"/>
      <c r="DH22" s="10"/>
      <c r="FA22" s="1" t="s">
        <v>58</v>
      </c>
      <c r="FB22" s="3">
        <v>67</v>
      </c>
      <c r="GA22" s="1" t="s">
        <v>58</v>
      </c>
      <c r="GB22" s="3">
        <v>67</v>
      </c>
    </row>
    <row r="23" spans="1:192" x14ac:dyDescent="0.2">
      <c r="A23" s="1" t="s">
        <v>36</v>
      </c>
      <c r="B23" s="8">
        <v>0.12</v>
      </c>
      <c r="I23" s="42" t="s">
        <v>61</v>
      </c>
      <c r="J23" s="37" t="s">
        <v>65</v>
      </c>
      <c r="L23" s="130" t="s">
        <v>74</v>
      </c>
      <c r="M23" s="131"/>
      <c r="Z23">
        <f t="shared" si="4"/>
        <v>43</v>
      </c>
      <c r="AA23" s="27">
        <f t="shared" si="5"/>
        <v>43</v>
      </c>
      <c r="AB23" s="31">
        <f t="shared" si="0"/>
        <v>0.1</v>
      </c>
      <c r="AC23" s="31">
        <f t="shared" si="6"/>
        <v>0.04</v>
      </c>
      <c r="AD23" s="28">
        <f t="shared" si="7"/>
        <v>120769.83072448944</v>
      </c>
      <c r="AE23" s="10">
        <f t="shared" si="8"/>
        <v>0.03</v>
      </c>
      <c r="AF23" s="28">
        <f t="shared" si="9"/>
        <v>198341.71587261019</v>
      </c>
      <c r="AG23" s="28">
        <f t="shared" si="1"/>
        <v>120769.83072448944</v>
      </c>
      <c r="AH23" s="28" t="str">
        <f t="shared" si="2"/>
        <v/>
      </c>
      <c r="AI23" s="28" t="str">
        <f t="shared" si="10"/>
        <v/>
      </c>
      <c r="AJ23" s="28">
        <f t="shared" si="11"/>
        <v>120769.83072448944</v>
      </c>
      <c r="AK23" s="28">
        <f t="shared" si="3"/>
        <v>108692.84765204049</v>
      </c>
      <c r="AL23" s="28" t="str">
        <f t="shared" si="12"/>
        <v/>
      </c>
      <c r="AM23" s="28">
        <f t="shared" si="13"/>
        <v>108692.84765204049</v>
      </c>
      <c r="AN23" s="28">
        <f t="shared" si="14"/>
        <v>12076.983072448944</v>
      </c>
      <c r="AO23" s="32">
        <f t="shared" si="15"/>
        <v>7.4999999999999997E-2</v>
      </c>
      <c r="AP23" s="33">
        <f t="shared" si="16"/>
        <v>315193.34617305436</v>
      </c>
      <c r="AQ23" s="34">
        <f t="shared" si="17"/>
        <v>12076.983072448944</v>
      </c>
      <c r="AR23" s="28">
        <f t="shared" si="18"/>
        <v>327270.32924550329</v>
      </c>
      <c r="AT23">
        <v>0.28179556466056965</v>
      </c>
      <c r="AU23">
        <v>0.26100110517290886</v>
      </c>
      <c r="AV23">
        <v>-0.74079935075133108</v>
      </c>
      <c r="DA23" s="95" t="s">
        <v>84</v>
      </c>
      <c r="DB23" s="24" t="s">
        <v>85</v>
      </c>
      <c r="DC23" s="41">
        <v>0</v>
      </c>
      <c r="DF23" s="38"/>
      <c r="DG23" s="28"/>
      <c r="DH23" s="10"/>
      <c r="FA23" s="1" t="s">
        <v>36</v>
      </c>
      <c r="FB23" s="8">
        <v>0.12</v>
      </c>
      <c r="FI23" s="42" t="s">
        <v>61</v>
      </c>
      <c r="FJ23" s="37" t="s">
        <v>65</v>
      </c>
      <c r="GA23" s="1" t="s">
        <v>36</v>
      </c>
      <c r="GB23" s="8">
        <v>0.12</v>
      </c>
      <c r="GI23" s="42" t="s">
        <v>61</v>
      </c>
      <c r="GJ23" s="37" t="s">
        <v>65</v>
      </c>
    </row>
    <row r="24" spans="1:192" x14ac:dyDescent="0.2">
      <c r="I24" s="43" t="s">
        <v>33</v>
      </c>
      <c r="J24" s="45" cm="1">
        <f t="array" aca="1" ref="J24" ca="1">OFFSET(AF6,DB10,0,,)</f>
        <v>686400.36163639778</v>
      </c>
      <c r="L24" s="132"/>
      <c r="M24" s="133"/>
      <c r="Z24">
        <f t="shared" si="4"/>
        <v>44</v>
      </c>
      <c r="AA24" s="27">
        <f t="shared" si="5"/>
        <v>44</v>
      </c>
      <c r="AB24" s="31">
        <f t="shared" si="0"/>
        <v>0.1</v>
      </c>
      <c r="AC24" s="31">
        <f t="shared" si="6"/>
        <v>0.04</v>
      </c>
      <c r="AD24" s="28">
        <f t="shared" si="7"/>
        <v>125600.62395346902</v>
      </c>
      <c r="AE24" s="10">
        <f t="shared" si="8"/>
        <v>0.03</v>
      </c>
      <c r="AF24" s="28">
        <f t="shared" si="9"/>
        <v>204291.96734878852</v>
      </c>
      <c r="AG24" s="28">
        <f t="shared" si="1"/>
        <v>125600.62395346902</v>
      </c>
      <c r="AH24" s="28" t="str">
        <f t="shared" si="2"/>
        <v/>
      </c>
      <c r="AI24" s="28" t="str">
        <f t="shared" si="10"/>
        <v/>
      </c>
      <c r="AJ24" s="28">
        <f t="shared" si="11"/>
        <v>125600.62395346902</v>
      </c>
      <c r="AK24" s="28">
        <f t="shared" si="3"/>
        <v>113040.56155812212</v>
      </c>
      <c r="AL24" s="28" t="str">
        <f t="shared" si="12"/>
        <v/>
      </c>
      <c r="AM24" s="28">
        <f t="shared" si="13"/>
        <v>113040.56155812212</v>
      </c>
      <c r="AN24" s="28">
        <f t="shared" si="14"/>
        <v>12560.062395346904</v>
      </c>
      <c r="AO24" s="32">
        <f t="shared" si="15"/>
        <v>7.4999999999999997E-2</v>
      </c>
      <c r="AP24" s="33">
        <f t="shared" si="16"/>
        <v>351815.603938916</v>
      </c>
      <c r="AQ24" s="34">
        <f t="shared" si="17"/>
        <v>12560.062395346904</v>
      </c>
      <c r="AR24" s="28">
        <f t="shared" si="18"/>
        <v>364375.66633426293</v>
      </c>
      <c r="AT24">
        <v>-0.10041958375950344</v>
      </c>
      <c r="AU24">
        <v>-0.89326476881979033</v>
      </c>
      <c r="AV24">
        <v>-2.2316817194223404</v>
      </c>
      <c r="DA24" s="95"/>
      <c r="DB24" s="24" t="s">
        <v>14</v>
      </c>
      <c r="DC24" s="41">
        <v>1</v>
      </c>
      <c r="DF24" s="38"/>
      <c r="DG24" s="28"/>
      <c r="DH24" s="10"/>
    </row>
    <row r="25" spans="1:192" ht="16" thickBot="1" x14ac:dyDescent="0.25">
      <c r="A25" s="1" t="s">
        <v>55</v>
      </c>
      <c r="B25" s="3">
        <v>10</v>
      </c>
      <c r="I25" s="43" t="s">
        <v>62</v>
      </c>
      <c r="J25" s="45" cm="1">
        <f t="array" aca="1" ref="J25" ca="1">OFFSET(AR6,DB10,0,,)</f>
        <v>293041.83866329072</v>
      </c>
      <c r="L25" s="134"/>
      <c r="M25" s="135"/>
      <c r="Z25">
        <f t="shared" si="4"/>
        <v>45</v>
      </c>
      <c r="AA25" s="27">
        <f t="shared" si="5"/>
        <v>45</v>
      </c>
      <c r="AB25" s="31">
        <f t="shared" si="0"/>
        <v>0.1</v>
      </c>
      <c r="AC25" s="31">
        <f t="shared" si="6"/>
        <v>0.04</v>
      </c>
      <c r="AD25" s="28">
        <f t="shared" si="7"/>
        <v>130624.64891160779</v>
      </c>
      <c r="AE25" s="10">
        <f t="shared" si="8"/>
        <v>0.03</v>
      </c>
      <c r="AF25" s="28">
        <f t="shared" si="9"/>
        <v>210420.72636925217</v>
      </c>
      <c r="AG25" s="28">
        <f t="shared" si="1"/>
        <v>130624.64891160779</v>
      </c>
      <c r="AH25" s="28" t="str">
        <f t="shared" si="2"/>
        <v/>
      </c>
      <c r="AI25" s="28" t="str">
        <f t="shared" si="10"/>
        <v/>
      </c>
      <c r="AJ25" s="28">
        <f t="shared" si="11"/>
        <v>130624.64891160779</v>
      </c>
      <c r="AK25" s="28">
        <f t="shared" si="3"/>
        <v>117562.18402044701</v>
      </c>
      <c r="AL25" s="28" t="str">
        <f t="shared" si="12"/>
        <v/>
      </c>
      <c r="AM25" s="28">
        <f t="shared" si="13"/>
        <v>117562.18402044701</v>
      </c>
      <c r="AN25" s="28">
        <f t="shared" si="14"/>
        <v>13062.46489116078</v>
      </c>
      <c r="AO25" s="32">
        <f t="shared" si="15"/>
        <v>7.4999999999999997E-2</v>
      </c>
      <c r="AP25" s="33">
        <f t="shared" si="16"/>
        <v>391703.84130933264</v>
      </c>
      <c r="AQ25" s="34">
        <f t="shared" si="17"/>
        <v>13062.46489116078</v>
      </c>
      <c r="AR25" s="28">
        <f t="shared" si="18"/>
        <v>404766.30620049342</v>
      </c>
      <c r="AT25">
        <v>-0.68632516558864154</v>
      </c>
      <c r="AU25">
        <v>0.5794686330773402</v>
      </c>
      <c r="AV25">
        <v>-0.42723286242107861</v>
      </c>
      <c r="DF25" s="38"/>
      <c r="DG25" s="28"/>
      <c r="DH25" s="10"/>
      <c r="FA25" s="1" t="s">
        <v>55</v>
      </c>
      <c r="FB25" s="3">
        <v>10</v>
      </c>
      <c r="GA25" s="1" t="s">
        <v>55</v>
      </c>
      <c r="GB25" s="3">
        <v>10</v>
      </c>
    </row>
    <row r="26" spans="1:192" x14ac:dyDescent="0.2">
      <c r="A26" s="1" t="s">
        <v>56</v>
      </c>
      <c r="B26" s="7">
        <v>0.4</v>
      </c>
      <c r="I26" s="43" t="s">
        <v>63</v>
      </c>
      <c r="J26" s="45">
        <f ca="1">J24-J25</f>
        <v>393358.52297310706</v>
      </c>
      <c r="Z26">
        <f t="shared" si="4"/>
        <v>46</v>
      </c>
      <c r="AA26" s="27">
        <f t="shared" si="5"/>
        <v>46</v>
      </c>
      <c r="AB26" s="31">
        <f t="shared" si="0"/>
        <v>0.1</v>
      </c>
      <c r="AC26" s="31">
        <f t="shared" si="6"/>
        <v>0.04</v>
      </c>
      <c r="AD26" s="28">
        <f t="shared" si="7"/>
        <v>135849.63486807211</v>
      </c>
      <c r="AE26" s="10">
        <f t="shared" si="8"/>
        <v>0.03</v>
      </c>
      <c r="AF26" s="28">
        <f t="shared" si="9"/>
        <v>216733.34816032974</v>
      </c>
      <c r="AG26" s="28">
        <f t="shared" si="1"/>
        <v>135849.63486807211</v>
      </c>
      <c r="AH26" s="28" t="str">
        <f t="shared" si="2"/>
        <v/>
      </c>
      <c r="AI26" s="28" t="str">
        <f t="shared" si="10"/>
        <v/>
      </c>
      <c r="AJ26" s="28">
        <f t="shared" si="11"/>
        <v>135849.63486807211</v>
      </c>
      <c r="AK26" s="28">
        <f t="shared" si="3"/>
        <v>122264.67138126491</v>
      </c>
      <c r="AL26" s="28" t="str">
        <f t="shared" si="12"/>
        <v/>
      </c>
      <c r="AM26" s="28">
        <f t="shared" si="13"/>
        <v>122264.67138126491</v>
      </c>
      <c r="AN26" s="28">
        <f t="shared" si="14"/>
        <v>13584.963486807203</v>
      </c>
      <c r="AO26" s="32">
        <f t="shared" si="15"/>
        <v>7.4999999999999997E-2</v>
      </c>
      <c r="AP26" s="33">
        <f t="shared" si="16"/>
        <v>435123.7791655304</v>
      </c>
      <c r="AQ26" s="34">
        <f t="shared" si="17"/>
        <v>13584.963486807203</v>
      </c>
      <c r="AR26" s="28">
        <f t="shared" si="18"/>
        <v>448708.74265233759</v>
      </c>
      <c r="AT26">
        <v>-0.73868704930646345</v>
      </c>
      <c r="AU26">
        <v>-0.56576936913188547</v>
      </c>
      <c r="AV26">
        <v>-4.5799879444530234E-2</v>
      </c>
      <c r="DF26" s="38"/>
      <c r="DG26" s="28"/>
      <c r="DH26" s="10"/>
      <c r="FA26" s="1" t="s">
        <v>56</v>
      </c>
      <c r="FB26" s="7">
        <v>0.4</v>
      </c>
      <c r="GA26" s="1" t="s">
        <v>56</v>
      </c>
      <c r="GB26" s="7">
        <v>0.4</v>
      </c>
    </row>
    <row r="27" spans="1:192" ht="16" thickBot="1" x14ac:dyDescent="0.25">
      <c r="I27" s="44" t="s">
        <v>88</v>
      </c>
      <c r="J27" s="46">
        <v>0.20606148657477819</v>
      </c>
      <c r="Z27">
        <f t="shared" si="4"/>
        <v>47</v>
      </c>
      <c r="AA27" s="27">
        <f t="shared" si="5"/>
        <v>47</v>
      </c>
      <c r="AB27" s="31">
        <f t="shared" si="0"/>
        <v>0.1</v>
      </c>
      <c r="AC27" s="31">
        <f t="shared" si="6"/>
        <v>0.04</v>
      </c>
      <c r="AD27" s="28">
        <f t="shared" si="7"/>
        <v>141283.62026279501</v>
      </c>
      <c r="AE27" s="10">
        <f t="shared" si="8"/>
        <v>0.03</v>
      </c>
      <c r="AF27" s="28">
        <f t="shared" si="9"/>
        <v>223235.34860513965</v>
      </c>
      <c r="AG27" s="28">
        <f t="shared" si="1"/>
        <v>141283.62026279501</v>
      </c>
      <c r="AH27" s="28" t="str">
        <f t="shared" si="2"/>
        <v/>
      </c>
      <c r="AI27" s="28" t="str">
        <f t="shared" si="10"/>
        <v/>
      </c>
      <c r="AJ27" s="28">
        <f t="shared" si="11"/>
        <v>141283.62026279501</v>
      </c>
      <c r="AK27" s="28">
        <f t="shared" si="3"/>
        <v>127155.25823651551</v>
      </c>
      <c r="AL27" s="28" t="str">
        <f t="shared" si="12"/>
        <v/>
      </c>
      <c r="AM27" s="28">
        <f t="shared" si="13"/>
        <v>127155.25823651551</v>
      </c>
      <c r="AN27" s="28">
        <f t="shared" si="14"/>
        <v>14128.362026279501</v>
      </c>
      <c r="AO27" s="32">
        <f t="shared" si="15"/>
        <v>7.4999999999999997E-2</v>
      </c>
      <c r="AP27" s="33">
        <f t="shared" si="16"/>
        <v>482361.89835126291</v>
      </c>
      <c r="AQ27" s="34">
        <f t="shared" si="17"/>
        <v>14128.362026279501</v>
      </c>
      <c r="AR27" s="28">
        <f t="shared" si="18"/>
        <v>496490.26037754241</v>
      </c>
      <c r="AT27">
        <v>9.1274614533176646E-2</v>
      </c>
      <c r="AU27">
        <v>0.67216205934528261</v>
      </c>
      <c r="AV27">
        <v>0.17076786207326222</v>
      </c>
      <c r="DE27" t="str">
        <f t="shared" ref="DE27:DE42" si="19">IF(DE26="","",IF(DE26+1&gt;$J$32,"",DE26+1))</f>
        <v/>
      </c>
      <c r="DF27" s="38"/>
      <c r="DG27" s="28"/>
      <c r="DH27" s="10"/>
    </row>
    <row r="28" spans="1:192" x14ac:dyDescent="0.2">
      <c r="A28" s="1" t="s">
        <v>53</v>
      </c>
      <c r="B28" s="3">
        <v>8</v>
      </c>
      <c r="Z28">
        <f t="shared" si="4"/>
        <v>48</v>
      </c>
      <c r="AA28" s="27">
        <f t="shared" si="5"/>
        <v>48</v>
      </c>
      <c r="AB28" s="31">
        <f t="shared" si="0"/>
        <v>0.1</v>
      </c>
      <c r="AC28" s="31">
        <f t="shared" si="6"/>
        <v>0.04</v>
      </c>
      <c r="AD28" s="28">
        <f t="shared" si="7"/>
        <v>146934.96507330681</v>
      </c>
      <c r="AE28" s="10">
        <f t="shared" si="8"/>
        <v>0.03</v>
      </c>
      <c r="AF28" s="28">
        <f t="shared" si="9"/>
        <v>229932.40906329383</v>
      </c>
      <c r="AG28" s="28">
        <f t="shared" si="1"/>
        <v>146934.96507330681</v>
      </c>
      <c r="AH28" s="28" t="str">
        <f t="shared" si="2"/>
        <v/>
      </c>
      <c r="AI28" s="28" t="str">
        <f t="shared" si="10"/>
        <v/>
      </c>
      <c r="AJ28" s="28">
        <f t="shared" si="11"/>
        <v>146934.96507330681</v>
      </c>
      <c r="AK28" s="28">
        <f t="shared" si="3"/>
        <v>132241.46856597613</v>
      </c>
      <c r="AL28" s="28" t="str">
        <f t="shared" si="12"/>
        <v/>
      </c>
      <c r="AM28" s="28">
        <f t="shared" si="13"/>
        <v>132241.46856597613</v>
      </c>
      <c r="AN28" s="28">
        <f t="shared" si="14"/>
        <v>14693.496507330681</v>
      </c>
      <c r="AO28" s="32">
        <f t="shared" si="15"/>
        <v>7.4999999999999997E-2</v>
      </c>
      <c r="AP28" s="33">
        <f t="shared" si="16"/>
        <v>533727.0299058581</v>
      </c>
      <c r="AQ28" s="34">
        <f t="shared" si="17"/>
        <v>14693.496507330681</v>
      </c>
      <c r="AR28" s="28">
        <f t="shared" si="18"/>
        <v>548420.52641318878</v>
      </c>
      <c r="AT28">
        <v>-5.4071733757155016E-2</v>
      </c>
      <c r="AU28">
        <v>1.5087925930856727</v>
      </c>
      <c r="AV28">
        <v>0.36729261410073377</v>
      </c>
      <c r="DE28" t="str">
        <f t="shared" si="19"/>
        <v/>
      </c>
      <c r="DF28" s="38"/>
      <c r="DG28" s="28"/>
      <c r="DH28" s="10"/>
      <c r="FA28" s="1" t="s">
        <v>53</v>
      </c>
      <c r="FB28" s="3">
        <v>8</v>
      </c>
      <c r="GA28" s="1" t="s">
        <v>53</v>
      </c>
      <c r="GB28" s="3">
        <v>8</v>
      </c>
    </row>
    <row r="29" spans="1:192" x14ac:dyDescent="0.2">
      <c r="A29" s="1" t="s">
        <v>54</v>
      </c>
      <c r="B29" s="4">
        <v>0.8</v>
      </c>
      <c r="I29" s="121" t="s">
        <v>75</v>
      </c>
      <c r="J29" s="122"/>
      <c r="K29" s="122"/>
      <c r="L29" s="122"/>
      <c r="M29" s="122"/>
      <c r="Z29">
        <f t="shared" si="4"/>
        <v>49</v>
      </c>
      <c r="AA29" s="27">
        <f t="shared" si="5"/>
        <v>49</v>
      </c>
      <c r="AB29" s="31">
        <f t="shared" si="0"/>
        <v>0.1</v>
      </c>
      <c r="AC29" s="31">
        <f t="shared" si="6"/>
        <v>0.04</v>
      </c>
      <c r="AD29" s="28">
        <f t="shared" si="7"/>
        <v>152812.3636762391</v>
      </c>
      <c r="AE29" s="10">
        <f t="shared" si="8"/>
        <v>0.03</v>
      </c>
      <c r="AF29" s="28">
        <f t="shared" si="9"/>
        <v>236830.38133519265</v>
      </c>
      <c r="AG29" s="28">
        <f t="shared" si="1"/>
        <v>152812.3636762391</v>
      </c>
      <c r="AH29" s="28" t="str">
        <f t="shared" si="2"/>
        <v/>
      </c>
      <c r="AI29" s="28" t="str">
        <f t="shared" si="10"/>
        <v/>
      </c>
      <c r="AJ29" s="28">
        <f t="shared" si="11"/>
        <v>152812.3636762391</v>
      </c>
      <c r="AK29" s="28">
        <f t="shared" si="3"/>
        <v>137531.12730861519</v>
      </c>
      <c r="AL29" s="28" t="str">
        <f t="shared" si="12"/>
        <v/>
      </c>
      <c r="AM29" s="28">
        <f t="shared" si="13"/>
        <v>137531.12730861519</v>
      </c>
      <c r="AN29" s="28">
        <f t="shared" si="14"/>
        <v>15281.236367623904</v>
      </c>
      <c r="AO29" s="32">
        <f t="shared" si="15"/>
        <v>7.4999999999999997E-2</v>
      </c>
      <c r="AP29" s="33">
        <f t="shared" si="16"/>
        <v>589552.06589417788</v>
      </c>
      <c r="AQ29" s="34">
        <f t="shared" si="17"/>
        <v>15281.236367623904</v>
      </c>
      <c r="AR29" s="28">
        <f t="shared" si="18"/>
        <v>604833.30226180179</v>
      </c>
      <c r="AT29">
        <v>1.1087786333519034</v>
      </c>
      <c r="AU29">
        <v>1.3342105376068503</v>
      </c>
      <c r="AV29">
        <v>1.0921007742581423</v>
      </c>
      <c r="DE29" t="str">
        <f t="shared" si="19"/>
        <v/>
      </c>
      <c r="DF29" s="38"/>
      <c r="DG29" s="28"/>
      <c r="DH29" s="10"/>
      <c r="FA29" s="1" t="s">
        <v>54</v>
      </c>
      <c r="FB29" s="4">
        <v>0.8</v>
      </c>
      <c r="GA29" s="1" t="s">
        <v>54</v>
      </c>
      <c r="GB29" s="4">
        <v>0.8</v>
      </c>
    </row>
    <row r="30" spans="1:192" ht="16" thickBot="1" x14ac:dyDescent="0.25">
      <c r="Z30">
        <f t="shared" si="4"/>
        <v>50</v>
      </c>
      <c r="AA30" s="27">
        <f t="shared" si="5"/>
        <v>50</v>
      </c>
      <c r="AB30" s="31">
        <f t="shared" si="0"/>
        <v>0.1</v>
      </c>
      <c r="AC30" s="31">
        <f t="shared" si="6"/>
        <v>0.04</v>
      </c>
      <c r="AD30" s="28">
        <f t="shared" si="7"/>
        <v>158924.85822328867</v>
      </c>
      <c r="AE30" s="10">
        <f t="shared" si="8"/>
        <v>0.03</v>
      </c>
      <c r="AF30" s="28">
        <f t="shared" si="9"/>
        <v>243935.29277524844</v>
      </c>
      <c r="AG30" s="28">
        <f t="shared" si="1"/>
        <v>158924.85822328867</v>
      </c>
      <c r="AH30" s="28" t="str">
        <f t="shared" si="2"/>
        <v/>
      </c>
      <c r="AI30" s="28" t="str">
        <f t="shared" si="10"/>
        <v/>
      </c>
      <c r="AJ30" s="28">
        <f t="shared" si="11"/>
        <v>158924.85822328867</v>
      </c>
      <c r="AK30" s="28">
        <f t="shared" si="3"/>
        <v>143032.37240095981</v>
      </c>
      <c r="AL30" s="28" t="str">
        <f t="shared" si="12"/>
        <v/>
      </c>
      <c r="AM30" s="28">
        <f t="shared" si="13"/>
        <v>143032.37240095981</v>
      </c>
      <c r="AN30" s="28">
        <f t="shared" si="14"/>
        <v>15892.485822328861</v>
      </c>
      <c r="AO30" s="32">
        <f t="shared" si="15"/>
        <v>7.4999999999999997E-2</v>
      </c>
      <c r="AP30" s="33">
        <f t="shared" si="16"/>
        <v>650195.79993143689</v>
      </c>
      <c r="AQ30" s="34">
        <f t="shared" si="17"/>
        <v>15892.485822328861</v>
      </c>
      <c r="AR30" s="28">
        <f t="shared" si="18"/>
        <v>666088.28575376573</v>
      </c>
      <c r="AT30">
        <v>0.27265400603937451</v>
      </c>
      <c r="AU30">
        <v>5.3933035815134645E-3</v>
      </c>
      <c r="AV30">
        <v>-1.3411363397608511</v>
      </c>
      <c r="DE30" t="str">
        <f t="shared" si="19"/>
        <v/>
      </c>
      <c r="DF30" s="38"/>
      <c r="DG30" s="28"/>
      <c r="DH30" s="10"/>
    </row>
    <row r="31" spans="1:192" x14ac:dyDescent="0.2">
      <c r="A31" s="88" t="s">
        <v>13</v>
      </c>
      <c r="B31" s="88"/>
      <c r="C31" s="88"/>
      <c r="D31" s="88"/>
      <c r="E31" s="88"/>
      <c r="F31" s="88"/>
      <c r="G31" s="88"/>
      <c r="I31" s="42" t="s">
        <v>76</v>
      </c>
      <c r="J31" s="37">
        <v>61</v>
      </c>
      <c r="L31" s="123" t="s">
        <v>79</v>
      </c>
      <c r="N31" s="123" t="s">
        <v>80</v>
      </c>
      <c r="Z31">
        <f t="shared" si="4"/>
        <v>51</v>
      </c>
      <c r="AA31" s="27">
        <f t="shared" si="5"/>
        <v>51</v>
      </c>
      <c r="AB31" s="31">
        <f t="shared" si="0"/>
        <v>0.1</v>
      </c>
      <c r="AC31" s="31">
        <f t="shared" si="6"/>
        <v>0.04</v>
      </c>
      <c r="AD31" s="28">
        <f t="shared" si="7"/>
        <v>165281.85255222023</v>
      </c>
      <c r="AE31" s="10">
        <f t="shared" si="8"/>
        <v>0.03</v>
      </c>
      <c r="AF31" s="28">
        <f t="shared" si="9"/>
        <v>251253.35155850591</v>
      </c>
      <c r="AG31" s="28">
        <f t="shared" si="1"/>
        <v>165281.85255222023</v>
      </c>
      <c r="AH31" s="28" t="str">
        <f t="shared" si="2"/>
        <v/>
      </c>
      <c r="AI31" s="28" t="str">
        <f t="shared" si="10"/>
        <v/>
      </c>
      <c r="AJ31" s="28">
        <f t="shared" si="11"/>
        <v>165281.85255222023</v>
      </c>
      <c r="AK31" s="28">
        <f t="shared" si="3"/>
        <v>148753.6672969982</v>
      </c>
      <c r="AL31" s="28" t="str">
        <f t="shared" si="12"/>
        <v/>
      </c>
      <c r="AM31" s="28">
        <f t="shared" si="13"/>
        <v>148753.6672969982</v>
      </c>
      <c r="AN31" s="28">
        <f t="shared" si="14"/>
        <v>16528.185255222023</v>
      </c>
      <c r="AO31" s="32">
        <f t="shared" si="15"/>
        <v>7.4999999999999997E-2</v>
      </c>
      <c r="AP31" s="33">
        <f t="shared" si="16"/>
        <v>716044.90718529816</v>
      </c>
      <c r="AQ31" s="34">
        <f t="shared" si="17"/>
        <v>16528.185255222023</v>
      </c>
      <c r="AR31" s="28">
        <f t="shared" si="18"/>
        <v>732573.09244052018</v>
      </c>
      <c r="AT31">
        <v>-1.8579703464638442</v>
      </c>
      <c r="AU31">
        <v>-1.9004437490366399</v>
      </c>
      <c r="AV31">
        <v>-0.64272626332240179</v>
      </c>
      <c r="DE31" t="str">
        <f t="shared" si="19"/>
        <v/>
      </c>
      <c r="DF31" s="38"/>
      <c r="DG31" s="28"/>
      <c r="DH31" s="10"/>
      <c r="FA31" s="88" t="s">
        <v>13</v>
      </c>
      <c r="FB31" s="88"/>
      <c r="FC31" s="88"/>
      <c r="FD31" s="88"/>
      <c r="FE31" s="88"/>
      <c r="FF31" s="88"/>
      <c r="FG31" s="88"/>
      <c r="FI31" s="42" t="s">
        <v>76</v>
      </c>
      <c r="FJ31" s="37">
        <v>61</v>
      </c>
      <c r="GA31" s="88" t="s">
        <v>13</v>
      </c>
      <c r="GB31" s="88"/>
      <c r="GC31" s="88"/>
      <c r="GD31" s="88"/>
      <c r="GE31" s="88"/>
      <c r="GF31" s="88"/>
      <c r="GG31" s="88"/>
      <c r="GI31" s="42" t="s">
        <v>76</v>
      </c>
      <c r="GJ31" s="37">
        <v>61</v>
      </c>
    </row>
    <row r="32" spans="1:192" ht="16" thickBot="1" x14ac:dyDescent="0.25">
      <c r="E32" s="91" t="s">
        <v>18</v>
      </c>
      <c r="F32" s="91"/>
      <c r="G32" s="91"/>
      <c r="I32" s="44" t="s">
        <v>77</v>
      </c>
      <c r="J32" s="39">
        <v>20</v>
      </c>
      <c r="L32" s="124"/>
      <c r="N32" s="124"/>
      <c r="Z32">
        <f t="shared" si="4"/>
        <v>52</v>
      </c>
      <c r="AA32" s="27">
        <f t="shared" si="5"/>
        <v>52</v>
      </c>
      <c r="AB32" s="31">
        <f t="shared" si="0"/>
        <v>0.1</v>
      </c>
      <c r="AC32" s="31">
        <f t="shared" si="6"/>
        <v>0.04</v>
      </c>
      <c r="AD32" s="28">
        <f t="shared" si="7"/>
        <v>171893.12665430905</v>
      </c>
      <c r="AE32" s="10">
        <f t="shared" si="8"/>
        <v>0.03</v>
      </c>
      <c r="AF32" s="28">
        <f t="shared" si="9"/>
        <v>258790.95210526109</v>
      </c>
      <c r="AG32" s="28">
        <f t="shared" si="1"/>
        <v>171893.12665430905</v>
      </c>
      <c r="AH32" s="28" t="str">
        <f t="shared" si="2"/>
        <v/>
      </c>
      <c r="AI32" s="28" t="str">
        <f t="shared" si="10"/>
        <v/>
      </c>
      <c r="AJ32" s="28">
        <f t="shared" si="11"/>
        <v>171893.12665430905</v>
      </c>
      <c r="AK32" s="28">
        <f t="shared" si="3"/>
        <v>154703.81398887816</v>
      </c>
      <c r="AL32" s="28" t="str">
        <f t="shared" si="12"/>
        <v/>
      </c>
      <c r="AM32" s="28">
        <f t="shared" si="13"/>
        <v>154703.81398887816</v>
      </c>
      <c r="AN32" s="28">
        <f t="shared" si="14"/>
        <v>17189.312665430887</v>
      </c>
      <c r="AO32" s="32">
        <f t="shared" si="15"/>
        <v>7.4999999999999997E-2</v>
      </c>
      <c r="AP32" s="33">
        <f t="shared" si="16"/>
        <v>787516.07437355921</v>
      </c>
      <c r="AQ32" s="34">
        <f t="shared" si="17"/>
        <v>17189.312665430887</v>
      </c>
      <c r="AR32" s="28">
        <f t="shared" si="18"/>
        <v>804705.38703899016</v>
      </c>
      <c r="AT32">
        <v>-0.4393325525597902</v>
      </c>
      <c r="AU32">
        <v>-1.9203707779524848</v>
      </c>
      <c r="AV32">
        <v>-1.2154646356066223</v>
      </c>
      <c r="DE32" t="str">
        <f t="shared" si="19"/>
        <v/>
      </c>
      <c r="DF32" s="38"/>
      <c r="DG32" s="28"/>
      <c r="DH32" s="10"/>
      <c r="FE32" s="91" t="s">
        <v>18</v>
      </c>
      <c r="FF32" s="91"/>
      <c r="FG32" s="91"/>
      <c r="FI32" s="44" t="s">
        <v>77</v>
      </c>
      <c r="FJ32" s="39">
        <v>20</v>
      </c>
      <c r="GE32" s="91" t="s">
        <v>18</v>
      </c>
      <c r="GF32" s="91"/>
      <c r="GG32" s="91"/>
      <c r="GI32" s="44" t="s">
        <v>77</v>
      </c>
      <c r="GJ32" s="39">
        <v>20</v>
      </c>
    </row>
    <row r="33" spans="1:189" x14ac:dyDescent="0.2">
      <c r="B33" s="14" t="s">
        <v>16</v>
      </c>
      <c r="C33" s="14" t="s">
        <v>17</v>
      </c>
      <c r="D33" s="14" t="s">
        <v>14</v>
      </c>
      <c r="E33" s="23" t="str">
        <f>A34</f>
        <v>Cash</v>
      </c>
      <c r="F33" s="23" t="str">
        <f>A35</f>
        <v>Bonds</v>
      </c>
      <c r="G33" s="23" t="str">
        <f>A36</f>
        <v>Stocks</v>
      </c>
      <c r="Z33">
        <f t="shared" si="4"/>
        <v>53</v>
      </c>
      <c r="AA33" s="27">
        <f t="shared" si="5"/>
        <v>53</v>
      </c>
      <c r="AB33" s="31">
        <f t="shared" si="0"/>
        <v>0.1</v>
      </c>
      <c r="AC33" s="31">
        <f t="shared" si="6"/>
        <v>0.04</v>
      </c>
      <c r="AD33" s="28">
        <f t="shared" si="7"/>
        <v>178768.85172048141</v>
      </c>
      <c r="AE33" s="10">
        <f t="shared" si="8"/>
        <v>0.03</v>
      </c>
      <c r="AF33" s="28">
        <f t="shared" si="9"/>
        <v>266554.68066841894</v>
      </c>
      <c r="AG33" s="28">
        <f t="shared" si="1"/>
        <v>178768.85172048141</v>
      </c>
      <c r="AH33" s="28" t="str">
        <f t="shared" si="2"/>
        <v/>
      </c>
      <c r="AI33" s="28" t="str">
        <f t="shared" si="10"/>
        <v/>
      </c>
      <c r="AJ33" s="28">
        <f t="shared" si="11"/>
        <v>178768.85172048141</v>
      </c>
      <c r="AK33" s="28">
        <f t="shared" si="3"/>
        <v>160891.96654843327</v>
      </c>
      <c r="AL33" s="28" t="str">
        <f t="shared" si="12"/>
        <v/>
      </c>
      <c r="AM33" s="28">
        <f t="shared" si="13"/>
        <v>160891.96654843327</v>
      </c>
      <c r="AN33" s="28">
        <f t="shared" si="14"/>
        <v>17876.885172048147</v>
      </c>
      <c r="AO33" s="32">
        <f t="shared" si="15"/>
        <v>7.4999999999999997E-2</v>
      </c>
      <c r="AP33" s="33">
        <f t="shared" si="16"/>
        <v>865058.29106691433</v>
      </c>
      <c r="AQ33" s="34">
        <f t="shared" si="17"/>
        <v>17876.885172048147</v>
      </c>
      <c r="AR33" s="28">
        <f t="shared" si="18"/>
        <v>882935.17623896245</v>
      </c>
      <c r="AT33">
        <v>-1.1015936252078973</v>
      </c>
      <c r="AU33">
        <v>-0.48109086492331699</v>
      </c>
      <c r="AV33">
        <v>-0.57594320423959289</v>
      </c>
      <c r="DE33" t="str">
        <f t="shared" si="19"/>
        <v/>
      </c>
      <c r="DF33" s="38"/>
      <c r="DG33" s="28"/>
      <c r="DH33" s="10"/>
      <c r="FB33" s="14" t="s">
        <v>16</v>
      </c>
      <c r="FC33" s="14" t="s">
        <v>17</v>
      </c>
      <c r="FD33" s="14" t="s">
        <v>14</v>
      </c>
      <c r="FE33" s="65" t="str">
        <f>FA34</f>
        <v>Cash</v>
      </c>
      <c r="FF33" s="65" t="str">
        <f>FA35</f>
        <v>Bonds</v>
      </c>
      <c r="FG33" s="65" t="str">
        <f>FA36</f>
        <v>Stocks</v>
      </c>
      <c r="GB33" s="14" t="s">
        <v>16</v>
      </c>
      <c r="GC33" s="14" t="s">
        <v>17</v>
      </c>
      <c r="GD33" s="14" t="s">
        <v>14</v>
      </c>
      <c r="GE33" s="65" t="str">
        <f>GA34</f>
        <v>Cash</v>
      </c>
      <c r="GF33" s="65" t="str">
        <f>GA35</f>
        <v>Bonds</v>
      </c>
      <c r="GG33" s="65" t="str">
        <f>GA36</f>
        <v>Stocks</v>
      </c>
    </row>
    <row r="34" spans="1:189" x14ac:dyDescent="0.2">
      <c r="A34" s="9" t="s">
        <v>10</v>
      </c>
      <c r="B34" s="13">
        <v>0.1</v>
      </c>
      <c r="C34" s="13">
        <v>0.02</v>
      </c>
      <c r="D34" s="16">
        <v>0.02</v>
      </c>
      <c r="E34" s="15">
        <f>1</f>
        <v>1</v>
      </c>
      <c r="F34" s="17">
        <v>0.5</v>
      </c>
      <c r="G34" s="17">
        <v>-0.24</v>
      </c>
      <c r="I34" s="1" t="s">
        <v>78</v>
      </c>
      <c r="J34" s="47">
        <f>COUNTIF($DG$4:$DG$83,"&gt;0")/COUNT($DG$4:$DG$83)</f>
        <v>1</v>
      </c>
      <c r="L34" s="128" t="s">
        <v>81</v>
      </c>
      <c r="M34" s="129"/>
      <c r="N34" s="63">
        <v>4</v>
      </c>
      <c r="Z34">
        <f t="shared" si="4"/>
        <v>54</v>
      </c>
      <c r="AA34" s="27">
        <f t="shared" si="5"/>
        <v>54</v>
      </c>
      <c r="AB34" s="31">
        <f t="shared" si="0"/>
        <v>0.1</v>
      </c>
      <c r="AC34" s="31">
        <f t="shared" si="6"/>
        <v>0.04</v>
      </c>
      <c r="AD34" s="28">
        <f t="shared" si="7"/>
        <v>185919.60578930067</v>
      </c>
      <c r="AE34" s="10">
        <f t="shared" si="8"/>
        <v>0.03</v>
      </c>
      <c r="AF34" s="28">
        <f t="shared" si="9"/>
        <v>274551.32108847151</v>
      </c>
      <c r="AG34" s="28">
        <f t="shared" si="1"/>
        <v>185919.60578930067</v>
      </c>
      <c r="AH34" s="28" t="str">
        <f t="shared" si="2"/>
        <v/>
      </c>
      <c r="AI34" s="28" t="str">
        <f t="shared" si="10"/>
        <v/>
      </c>
      <c r="AJ34" s="28">
        <f t="shared" si="11"/>
        <v>185919.60578930067</v>
      </c>
      <c r="AK34" s="28">
        <f t="shared" si="3"/>
        <v>167327.6452103706</v>
      </c>
      <c r="AL34" s="28" t="str">
        <f t="shared" si="12"/>
        <v/>
      </c>
      <c r="AM34" s="28">
        <f t="shared" si="13"/>
        <v>167327.6452103706</v>
      </c>
      <c r="AN34" s="28">
        <f t="shared" si="14"/>
        <v>18591.960578930069</v>
      </c>
      <c r="AO34" s="32">
        <f t="shared" si="15"/>
        <v>7.4999999999999997E-2</v>
      </c>
      <c r="AP34" s="33">
        <f t="shared" si="16"/>
        <v>949155.31445688463</v>
      </c>
      <c r="AQ34" s="34">
        <f t="shared" si="17"/>
        <v>18591.960578930069</v>
      </c>
      <c r="AR34" s="28">
        <f t="shared" si="18"/>
        <v>967747.27503581473</v>
      </c>
      <c r="AT34">
        <v>0.23913798941066489</v>
      </c>
      <c r="AU34">
        <v>-0.47928892854542937</v>
      </c>
      <c r="AV34">
        <v>0.78292941907420754</v>
      </c>
      <c r="DE34" t="str">
        <f t="shared" si="19"/>
        <v/>
      </c>
      <c r="DF34" s="38"/>
      <c r="DG34" s="28"/>
      <c r="DH34" s="10"/>
      <c r="FA34" s="9" t="s">
        <v>10</v>
      </c>
      <c r="FB34" s="13">
        <v>0.1</v>
      </c>
      <c r="FC34" s="13">
        <v>0.02</v>
      </c>
      <c r="FD34" s="16">
        <v>0.02</v>
      </c>
      <c r="FE34" s="15">
        <f>1</f>
        <v>1</v>
      </c>
      <c r="FF34" s="17">
        <v>0.5</v>
      </c>
      <c r="FG34" s="17">
        <v>-0.24</v>
      </c>
      <c r="GA34" s="9" t="s">
        <v>10</v>
      </c>
      <c r="GB34" s="13">
        <v>0.1</v>
      </c>
      <c r="GC34" s="13">
        <v>0.02</v>
      </c>
      <c r="GD34" s="16">
        <v>0.02</v>
      </c>
      <c r="GE34" s="15">
        <f>1</f>
        <v>1</v>
      </c>
      <c r="GF34" s="17">
        <v>0.5</v>
      </c>
      <c r="GG34" s="17">
        <v>-0.24</v>
      </c>
    </row>
    <row r="35" spans="1:189" x14ac:dyDescent="0.2">
      <c r="A35" s="9" t="s">
        <v>11</v>
      </c>
      <c r="B35" s="19">
        <v>0.2</v>
      </c>
      <c r="C35" s="19">
        <v>0.05</v>
      </c>
      <c r="D35" s="20">
        <v>0.09</v>
      </c>
      <c r="E35" s="21">
        <f>F34</f>
        <v>0.5</v>
      </c>
      <c r="F35" s="21">
        <f>1</f>
        <v>1</v>
      </c>
      <c r="G35" s="22">
        <v>0.09</v>
      </c>
      <c r="Z35">
        <f t="shared" si="4"/>
        <v>55</v>
      </c>
      <c r="AA35" s="27">
        <f t="shared" si="5"/>
        <v>55</v>
      </c>
      <c r="AB35" s="31">
        <f t="shared" si="0"/>
        <v>0.1</v>
      </c>
      <c r="AC35" s="31">
        <f t="shared" si="6"/>
        <v>0.04</v>
      </c>
      <c r="AD35" s="28">
        <f t="shared" si="7"/>
        <v>193356.3900208727</v>
      </c>
      <c r="AE35" s="10">
        <f t="shared" si="8"/>
        <v>0.03</v>
      </c>
      <c r="AF35" s="28">
        <f t="shared" si="9"/>
        <v>282787.86072112567</v>
      </c>
      <c r="AG35" s="28">
        <f t="shared" si="1"/>
        <v>193356.3900208727</v>
      </c>
      <c r="AH35" s="28" t="str">
        <f t="shared" si="2"/>
        <v/>
      </c>
      <c r="AI35" s="28" t="str">
        <f t="shared" si="10"/>
        <v/>
      </c>
      <c r="AJ35" s="28">
        <f t="shared" si="11"/>
        <v>193356.3900208727</v>
      </c>
      <c r="AK35" s="28">
        <f t="shared" si="3"/>
        <v>174020.75101878544</v>
      </c>
      <c r="AL35" s="28" t="str">
        <f t="shared" si="12"/>
        <v/>
      </c>
      <c r="AM35" s="28">
        <f t="shared" si="13"/>
        <v>174020.75101878544</v>
      </c>
      <c r="AN35" s="28">
        <f t="shared" si="14"/>
        <v>19335.639002087264</v>
      </c>
      <c r="AO35" s="32">
        <f t="shared" si="15"/>
        <v>7.4999999999999997E-2</v>
      </c>
      <c r="AP35" s="33">
        <f t="shared" si="16"/>
        <v>1040328.3206635008</v>
      </c>
      <c r="AQ35" s="34">
        <f t="shared" si="17"/>
        <v>19335.639002087264</v>
      </c>
      <c r="AR35" s="28">
        <f t="shared" si="18"/>
        <v>1059663.9596655881</v>
      </c>
      <c r="AT35">
        <v>-0.94604274636367336</v>
      </c>
      <c r="AU35">
        <v>-1.4205033949110657</v>
      </c>
      <c r="AV35">
        <v>-0.49834056881081779</v>
      </c>
      <c r="DE35" t="str">
        <f t="shared" si="19"/>
        <v/>
      </c>
      <c r="DF35" s="38"/>
      <c r="DG35" s="28"/>
      <c r="DH35" s="10"/>
      <c r="FA35" s="9" t="s">
        <v>11</v>
      </c>
      <c r="FB35" s="19">
        <v>0.2</v>
      </c>
      <c r="FC35" s="19">
        <v>0.05</v>
      </c>
      <c r="FD35" s="20">
        <v>0.09</v>
      </c>
      <c r="FE35" s="21">
        <f>FF34</f>
        <v>0.5</v>
      </c>
      <c r="FF35" s="21">
        <f>1</f>
        <v>1</v>
      </c>
      <c r="FG35" s="22">
        <v>0.09</v>
      </c>
      <c r="GA35" s="9" t="s">
        <v>11</v>
      </c>
      <c r="GB35" s="19">
        <v>0.2</v>
      </c>
      <c r="GC35" s="19">
        <v>0.05</v>
      </c>
      <c r="GD35" s="20">
        <v>0.09</v>
      </c>
      <c r="GE35" s="21">
        <f>GF34</f>
        <v>0.5</v>
      </c>
      <c r="GF35" s="21">
        <f>1</f>
        <v>1</v>
      </c>
      <c r="GG35" s="22">
        <v>0.09</v>
      </c>
    </row>
    <row r="36" spans="1:189" x14ac:dyDescent="0.2">
      <c r="A36" s="9" t="s">
        <v>12</v>
      </c>
      <c r="B36" s="10">
        <f>100%-(SUM(B34:B35))</f>
        <v>0.7</v>
      </c>
      <c r="C36" s="13">
        <v>0.09</v>
      </c>
      <c r="D36" s="13">
        <v>0.18</v>
      </c>
      <c r="E36" s="15">
        <f>G34</f>
        <v>-0.24</v>
      </c>
      <c r="F36" s="15">
        <f>G35</f>
        <v>0.09</v>
      </c>
      <c r="G36" s="15">
        <f>1</f>
        <v>1</v>
      </c>
      <c r="I36" s="1" t="s">
        <v>95</v>
      </c>
      <c r="J36" s="64">
        <f>AVERAGE(DH4:DH83)</f>
        <v>0.24584345477984254</v>
      </c>
      <c r="Z36">
        <f t="shared" si="4"/>
        <v>56</v>
      </c>
      <c r="AA36" s="27">
        <f t="shared" si="5"/>
        <v>56</v>
      </c>
      <c r="AB36" s="31">
        <f t="shared" si="0"/>
        <v>0.1</v>
      </c>
      <c r="AC36" s="31">
        <f t="shared" si="6"/>
        <v>0.04</v>
      </c>
      <c r="AD36" s="28">
        <f t="shared" si="7"/>
        <v>201090.6456217076</v>
      </c>
      <c r="AE36" s="10">
        <f t="shared" si="8"/>
        <v>0.03</v>
      </c>
      <c r="AF36" s="28">
        <f t="shared" si="9"/>
        <v>291271.49654275947</v>
      </c>
      <c r="AG36" s="28">
        <f t="shared" si="1"/>
        <v>201090.6456217076</v>
      </c>
      <c r="AH36" s="28" t="str">
        <f t="shared" si="2"/>
        <v/>
      </c>
      <c r="AI36" s="28" t="str">
        <f t="shared" si="10"/>
        <v/>
      </c>
      <c r="AJ36" s="28">
        <f t="shared" si="11"/>
        <v>201090.6456217076</v>
      </c>
      <c r="AK36" s="28">
        <f t="shared" si="3"/>
        <v>180981.58105953684</v>
      </c>
      <c r="AL36" s="28" t="str">
        <f t="shared" si="12"/>
        <v/>
      </c>
      <c r="AM36" s="28">
        <f t="shared" si="13"/>
        <v>180981.58105953684</v>
      </c>
      <c r="AN36" s="28">
        <f t="shared" si="14"/>
        <v>20109.064562170766</v>
      </c>
      <c r="AO36" s="32">
        <f t="shared" si="15"/>
        <v>7.4999999999999997E-2</v>
      </c>
      <c r="AP36" s="33">
        <f t="shared" si="16"/>
        <v>1139138.7566405071</v>
      </c>
      <c r="AQ36" s="34">
        <f t="shared" si="17"/>
        <v>20109.064562170766</v>
      </c>
      <c r="AR36" s="28">
        <f t="shared" si="18"/>
        <v>1159247.8212026779</v>
      </c>
      <c r="AT36">
        <v>0.74928038884536363</v>
      </c>
      <c r="AU36">
        <v>-0.26305997380404733</v>
      </c>
      <c r="AV36">
        <v>3.079549060203135E-2</v>
      </c>
      <c r="DE36" t="str">
        <f t="shared" si="19"/>
        <v/>
      </c>
      <c r="DF36" s="38"/>
      <c r="DG36" s="28"/>
      <c r="DH36" s="10"/>
      <c r="FA36" s="9" t="s">
        <v>12</v>
      </c>
      <c r="FB36" s="10">
        <f>100%-(SUM(FB34:FB35))</f>
        <v>0.7</v>
      </c>
      <c r="FC36" s="13">
        <v>0.09</v>
      </c>
      <c r="FD36" s="13">
        <v>0.18</v>
      </c>
      <c r="FE36" s="15">
        <f>FG34</f>
        <v>-0.24</v>
      </c>
      <c r="FF36" s="15">
        <f>FG35</f>
        <v>0.09</v>
      </c>
      <c r="FG36" s="15">
        <f>1</f>
        <v>1</v>
      </c>
      <c r="GA36" s="9" t="s">
        <v>12</v>
      </c>
      <c r="GB36" s="10">
        <f>100%-(SUM(GB34:GB35))</f>
        <v>0.7</v>
      </c>
      <c r="GC36" s="13">
        <v>0.09</v>
      </c>
      <c r="GD36" s="13">
        <v>0.18</v>
      </c>
      <c r="GE36" s="15">
        <f>GG34</f>
        <v>-0.24</v>
      </c>
      <c r="GF36" s="15">
        <f>GG35</f>
        <v>0.09</v>
      </c>
      <c r="GG36" s="15">
        <f>1</f>
        <v>1</v>
      </c>
    </row>
    <row r="37" spans="1:189" x14ac:dyDescent="0.2">
      <c r="Z37">
        <f t="shared" si="4"/>
        <v>57</v>
      </c>
      <c r="AA37" s="27">
        <f t="shared" si="5"/>
        <v>57</v>
      </c>
      <c r="AB37" s="31">
        <f t="shared" si="0"/>
        <v>0.1</v>
      </c>
      <c r="AC37" s="31">
        <f t="shared" si="6"/>
        <v>0.04</v>
      </c>
      <c r="AD37" s="28">
        <f t="shared" si="7"/>
        <v>209134.27144657591</v>
      </c>
      <c r="AE37" s="10">
        <f t="shared" si="8"/>
        <v>0.03</v>
      </c>
      <c r="AF37" s="28">
        <f t="shared" si="9"/>
        <v>300009.64143904229</v>
      </c>
      <c r="AG37" s="28">
        <f t="shared" si="1"/>
        <v>209134.27144657591</v>
      </c>
      <c r="AH37" s="28" t="str">
        <f t="shared" si="2"/>
        <v/>
      </c>
      <c r="AI37" s="28" t="str">
        <f t="shared" si="10"/>
        <v/>
      </c>
      <c r="AJ37" s="28">
        <f t="shared" si="11"/>
        <v>209134.27144657591</v>
      </c>
      <c r="AK37" s="28">
        <f t="shared" si="3"/>
        <v>188220.84430191832</v>
      </c>
      <c r="AL37" s="28" t="str">
        <f t="shared" si="12"/>
        <v/>
      </c>
      <c r="AM37" s="28">
        <f t="shared" si="13"/>
        <v>188220.84430191832</v>
      </c>
      <c r="AN37" s="28">
        <f t="shared" si="14"/>
        <v>20913.427144657588</v>
      </c>
      <c r="AO37" s="32">
        <f t="shared" si="15"/>
        <v>7.4999999999999997E-2</v>
      </c>
      <c r="AP37" s="33">
        <f t="shared" si="16"/>
        <v>1246191.4077928788</v>
      </c>
      <c r="AQ37" s="34">
        <f t="shared" si="17"/>
        <v>20913.427144657588</v>
      </c>
      <c r="AR37" s="28">
        <f t="shared" si="18"/>
        <v>1267104.8349375364</v>
      </c>
      <c r="AT37">
        <v>0.29463535611284897</v>
      </c>
      <c r="AU37">
        <v>-0.74938157013093587</v>
      </c>
      <c r="AV37">
        <v>-0.52915538617526181</v>
      </c>
      <c r="DE37" t="str">
        <f t="shared" si="19"/>
        <v/>
      </c>
      <c r="DF37" s="38"/>
      <c r="DG37" s="28"/>
      <c r="DH37" s="10"/>
    </row>
    <row r="38" spans="1:189" x14ac:dyDescent="0.2">
      <c r="A38" s="88" t="s">
        <v>59</v>
      </c>
      <c r="B38" s="88"/>
      <c r="C38" s="88"/>
      <c r="Z38">
        <f t="shared" si="4"/>
        <v>58</v>
      </c>
      <c r="AA38" s="27">
        <f t="shared" si="5"/>
        <v>58</v>
      </c>
      <c r="AB38" s="31">
        <f t="shared" si="0"/>
        <v>0.1</v>
      </c>
      <c r="AC38" s="31">
        <f t="shared" si="6"/>
        <v>0.04</v>
      </c>
      <c r="AD38" s="28">
        <f t="shared" si="7"/>
        <v>217499.64230443895</v>
      </c>
      <c r="AE38" s="10">
        <f t="shared" si="8"/>
        <v>0.03</v>
      </c>
      <c r="AF38" s="28">
        <f t="shared" si="9"/>
        <v>309009.93068221357</v>
      </c>
      <c r="AG38" s="28">
        <f t="shared" si="1"/>
        <v>217499.64230443895</v>
      </c>
      <c r="AH38" s="28" t="str">
        <f t="shared" si="2"/>
        <v/>
      </c>
      <c r="AI38" s="28" t="str">
        <f t="shared" si="10"/>
        <v/>
      </c>
      <c r="AJ38" s="28">
        <f t="shared" si="11"/>
        <v>217499.64230443895</v>
      </c>
      <c r="AK38" s="28">
        <f t="shared" si="3"/>
        <v>195749.67807399505</v>
      </c>
      <c r="AL38" s="28" t="str">
        <f t="shared" si="12"/>
        <v/>
      </c>
      <c r="AM38" s="28">
        <f t="shared" si="13"/>
        <v>195749.67807399505</v>
      </c>
      <c r="AN38" s="28">
        <f t="shared" si="14"/>
        <v>21749.964230443904</v>
      </c>
      <c r="AO38" s="32">
        <f t="shared" si="15"/>
        <v>7.4999999999999997E-2</v>
      </c>
      <c r="AP38" s="33">
        <f t="shared" si="16"/>
        <v>1362137.6975578517</v>
      </c>
      <c r="AQ38" s="34">
        <f t="shared" si="17"/>
        <v>21749.964230443904</v>
      </c>
      <c r="AR38" s="28">
        <f t="shared" si="18"/>
        <v>1383887.6617882955</v>
      </c>
      <c r="AT38">
        <v>1.090852492779959</v>
      </c>
      <c r="AU38">
        <v>1.0791382010211237</v>
      </c>
      <c r="AV38">
        <v>-0.75588104664348066</v>
      </c>
      <c r="DE38" t="str">
        <f t="shared" si="19"/>
        <v/>
      </c>
      <c r="DF38" s="38"/>
      <c r="DG38" s="28"/>
      <c r="DH38" s="10"/>
      <c r="FA38" s="88" t="s">
        <v>59</v>
      </c>
      <c r="FB38" s="88"/>
      <c r="FC38" s="88"/>
      <c r="GA38" s="88" t="s">
        <v>59</v>
      </c>
      <c r="GB38" s="88"/>
      <c r="GC38" s="88"/>
    </row>
    <row r="39" spans="1:189" ht="16" thickBot="1" x14ac:dyDescent="0.25">
      <c r="B39" s="14" t="s">
        <v>15</v>
      </c>
      <c r="C39" s="14" t="s">
        <v>14</v>
      </c>
      <c r="Z39">
        <f t="shared" si="4"/>
        <v>59</v>
      </c>
      <c r="AA39" s="27">
        <f t="shared" si="5"/>
        <v>59</v>
      </c>
      <c r="AB39" s="31">
        <f t="shared" ref="AB39:AB70" si="20">IF(AA39="","",IF(AA39&lt;=RetirementAge,$B$11,""))</f>
        <v>0.1</v>
      </c>
      <c r="AC39" s="31">
        <f t="shared" si="6"/>
        <v>0.04</v>
      </c>
      <c r="AD39" s="28">
        <f t="shared" si="7"/>
        <v>226199.62799661653</v>
      </c>
      <c r="AE39" s="10">
        <f t="shared" si="8"/>
        <v>0.03</v>
      </c>
      <c r="AF39" s="28">
        <f t="shared" si="9"/>
        <v>318280.22860267997</v>
      </c>
      <c r="AG39" s="28">
        <f t="shared" ref="AG39:AG70" si="21">IF(AA39="","",IF(AND(AA39&gt;CurrentAge,AA39&lt;=RetirementAge),AD39,""))</f>
        <v>226199.62799661653</v>
      </c>
      <c r="AH39" s="28" t="str">
        <f t="shared" ref="AH39:AH70" si="22">IF(AA39="","",IF(AND(AA39&gt;RetirementAge,AA39&lt;=RetirementAge+$B$25),$B$26*AD39,""))</f>
        <v/>
      </c>
      <c r="AI39" s="28" t="str">
        <f t="shared" si="10"/>
        <v/>
      </c>
      <c r="AJ39" s="28">
        <f t="shared" si="11"/>
        <v>226199.62799661653</v>
      </c>
      <c r="AK39" s="28">
        <f t="shared" ref="AK39:AK70" si="23">IF(AA39="","",IF(AA39&lt;=RetirementAge,AD39*(1-AB39),$B$17*AD39))</f>
        <v>203579.66519695488</v>
      </c>
      <c r="AL39" s="28" t="str">
        <f t="shared" si="12"/>
        <v/>
      </c>
      <c r="AM39" s="28">
        <f t="shared" si="13"/>
        <v>203579.66519695488</v>
      </c>
      <c r="AN39" s="28">
        <f t="shared" si="14"/>
        <v>22619.962799661647</v>
      </c>
      <c r="AO39" s="32">
        <f t="shared" si="15"/>
        <v>7.4999999999999997E-2</v>
      </c>
      <c r="AP39" s="33">
        <f t="shared" si="16"/>
        <v>1487679.2364224177</v>
      </c>
      <c r="AQ39" s="34">
        <f t="shared" si="17"/>
        <v>22619.962799661647</v>
      </c>
      <c r="AR39" s="28">
        <f t="shared" si="18"/>
        <v>1510299.1992220792</v>
      </c>
      <c r="AT39">
        <v>-0.57874558478943072</v>
      </c>
      <c r="AU39">
        <v>-4.0899976738728583E-2</v>
      </c>
      <c r="AV39">
        <v>0.76599690146395005</v>
      </c>
      <c r="DE39" t="str">
        <f t="shared" si="19"/>
        <v/>
      </c>
      <c r="DF39" s="38"/>
      <c r="DG39" s="28"/>
      <c r="DH39" s="10"/>
      <c r="FB39" s="14" t="s">
        <v>15</v>
      </c>
      <c r="FC39" s="14" t="s">
        <v>14</v>
      </c>
      <c r="GB39" s="14" t="s">
        <v>15</v>
      </c>
      <c r="GC39" s="14" t="s">
        <v>14</v>
      </c>
    </row>
    <row r="40" spans="1:189" x14ac:dyDescent="0.2">
      <c r="A40" s="1" t="s">
        <v>31</v>
      </c>
      <c r="B40" s="13">
        <v>0.04</v>
      </c>
      <c r="C40" s="11">
        <v>8.0000000000000002E-3</v>
      </c>
      <c r="Z40">
        <f t="shared" si="4"/>
        <v>60</v>
      </c>
      <c r="AA40" s="27">
        <f t="shared" si="5"/>
        <v>60</v>
      </c>
      <c r="AB40" s="31">
        <f t="shared" si="20"/>
        <v>0.1</v>
      </c>
      <c r="AC40" s="31">
        <f t="shared" si="6"/>
        <v>0.04</v>
      </c>
      <c r="AD40" s="28">
        <f t="shared" si="7"/>
        <v>235247.6131164812</v>
      </c>
      <c r="AE40" s="10">
        <f t="shared" si="8"/>
        <v>0.03</v>
      </c>
      <c r="AF40" s="28">
        <f t="shared" si="9"/>
        <v>327828.63546076039</v>
      </c>
      <c r="AG40" s="28">
        <f t="shared" si="21"/>
        <v>235247.6131164812</v>
      </c>
      <c r="AH40" s="28" t="str">
        <f t="shared" si="22"/>
        <v/>
      </c>
      <c r="AI40" s="28" t="str">
        <f t="shared" si="10"/>
        <v/>
      </c>
      <c r="AJ40" s="28">
        <f t="shared" si="11"/>
        <v>235247.6131164812</v>
      </c>
      <c r="AK40" s="28">
        <f t="shared" si="23"/>
        <v>211722.85180483307</v>
      </c>
      <c r="AL40" s="28" t="str">
        <f t="shared" si="12"/>
        <v/>
      </c>
      <c r="AM40" s="28">
        <f t="shared" si="13"/>
        <v>211722.85180483307</v>
      </c>
      <c r="AN40" s="28">
        <f t="shared" si="14"/>
        <v>23524.761311648123</v>
      </c>
      <c r="AO40" s="32">
        <f t="shared" si="15"/>
        <v>7.4999999999999997E-2</v>
      </c>
      <c r="AP40" s="33">
        <f t="shared" si="16"/>
        <v>1623571.6391637351</v>
      </c>
      <c r="AQ40" s="34">
        <f t="shared" si="17"/>
        <v>23524.761311648123</v>
      </c>
      <c r="AR40" s="28">
        <f t="shared" si="18"/>
        <v>1647096.4004753833</v>
      </c>
      <c r="AT40">
        <v>0.35683797250385396</v>
      </c>
      <c r="AU40">
        <v>1.969010554603301</v>
      </c>
      <c r="AV40">
        <v>-0.68622966864495538</v>
      </c>
      <c r="BK40" s="105" t="s">
        <v>91</v>
      </c>
      <c r="BL40" s="106"/>
      <c r="BM40" s="106"/>
      <c r="BN40" s="106"/>
      <c r="BO40" s="106"/>
      <c r="BP40" s="106"/>
      <c r="BQ40" s="106"/>
      <c r="BR40" s="106"/>
      <c r="BS40" s="106"/>
      <c r="BT40" s="106"/>
      <c r="BU40" s="106"/>
      <c r="BV40" s="106"/>
      <c r="BW40" s="106"/>
      <c r="BX40" s="106"/>
      <c r="BY40" s="107"/>
      <c r="DE40" t="str">
        <f t="shared" si="19"/>
        <v/>
      </c>
      <c r="DF40" s="38"/>
      <c r="DG40" s="28"/>
      <c r="DH40" s="10"/>
      <c r="FA40" s="1" t="s">
        <v>31</v>
      </c>
      <c r="FB40" s="13">
        <v>0.04</v>
      </c>
      <c r="FC40" s="11">
        <v>8.0000000000000002E-3</v>
      </c>
      <c r="GA40" s="1" t="s">
        <v>31</v>
      </c>
      <c r="GB40" s="13">
        <v>0.04</v>
      </c>
      <c r="GC40" s="11">
        <v>8.0000000000000002E-3</v>
      </c>
    </row>
    <row r="41" spans="1:189" ht="16" thickBot="1" x14ac:dyDescent="0.25">
      <c r="A41" s="1" t="s">
        <v>49</v>
      </c>
      <c r="B41" s="13">
        <v>0.03</v>
      </c>
      <c r="C41" s="12">
        <v>0.01</v>
      </c>
      <c r="Z41">
        <f t="shared" si="4"/>
        <v>61</v>
      </c>
      <c r="AA41" s="27">
        <f t="shared" si="5"/>
        <v>61</v>
      </c>
      <c r="AB41" s="31" t="str">
        <f t="shared" si="20"/>
        <v/>
      </c>
      <c r="AC41" s="31">
        <f t="shared" si="6"/>
        <v>0.04</v>
      </c>
      <c r="AD41" s="28">
        <f t="shared" si="7"/>
        <v>244657.51764114044</v>
      </c>
      <c r="AE41" s="10">
        <f t="shared" si="8"/>
        <v>0.03</v>
      </c>
      <c r="AF41" s="28">
        <f t="shared" si="9"/>
        <v>337663.49452458322</v>
      </c>
      <c r="AG41" s="28" t="str">
        <f t="shared" si="21"/>
        <v/>
      </c>
      <c r="AH41" s="28">
        <f t="shared" si="22"/>
        <v>97863.007056456176</v>
      </c>
      <c r="AI41" s="28" t="str">
        <f t="shared" si="10"/>
        <v/>
      </c>
      <c r="AJ41" s="28">
        <f t="shared" si="11"/>
        <v>97863.007056456176</v>
      </c>
      <c r="AK41" s="28">
        <f t="shared" si="23"/>
        <v>146794.51058468426</v>
      </c>
      <c r="AL41" s="28" t="str">
        <f t="shared" si="12"/>
        <v/>
      </c>
      <c r="AM41" s="28">
        <f t="shared" si="13"/>
        <v>146794.51058468426</v>
      </c>
      <c r="AN41" s="28">
        <f t="shared" si="14"/>
        <v>-48931.503528228088</v>
      </c>
      <c r="AO41" s="32">
        <f t="shared" si="15"/>
        <v>7.4999999999999997E-2</v>
      </c>
      <c r="AP41" s="33">
        <f t="shared" si="16"/>
        <v>1770628.6305110368</v>
      </c>
      <c r="AQ41" s="34">
        <f t="shared" si="17"/>
        <v>-48931.503528228088</v>
      </c>
      <c r="AR41" s="28">
        <f t="shared" si="18"/>
        <v>1721697.1269828088</v>
      </c>
      <c r="AT41">
        <v>2.0712923287646845</v>
      </c>
      <c r="AU41">
        <v>-4.059302227688022E-2</v>
      </c>
      <c r="AV41">
        <v>-0.48521769713261165</v>
      </c>
      <c r="BK41" s="108"/>
      <c r="BL41" s="109"/>
      <c r="BM41" s="109"/>
      <c r="BN41" s="109"/>
      <c r="BO41" s="109"/>
      <c r="BP41" s="109"/>
      <c r="BQ41" s="109"/>
      <c r="BR41" s="109"/>
      <c r="BS41" s="109"/>
      <c r="BT41" s="109"/>
      <c r="BU41" s="109"/>
      <c r="BV41" s="109"/>
      <c r="BW41" s="109"/>
      <c r="BX41" s="109"/>
      <c r="BY41" s="110"/>
      <c r="DE41" t="str">
        <f t="shared" si="19"/>
        <v/>
      </c>
      <c r="DF41" s="38"/>
      <c r="DG41" s="28"/>
      <c r="DH41" s="10"/>
      <c r="FA41" s="1" t="s">
        <v>49</v>
      </c>
      <c r="FB41" s="13">
        <v>0.03</v>
      </c>
      <c r="FC41" s="12">
        <v>0.01</v>
      </c>
      <c r="GA41" s="1" t="s">
        <v>49</v>
      </c>
      <c r="GB41" s="13">
        <v>0.03</v>
      </c>
      <c r="GC41" s="12">
        <v>0.01</v>
      </c>
    </row>
    <row r="42" spans="1:189" x14ac:dyDescent="0.2">
      <c r="Z42">
        <f t="shared" si="4"/>
        <v>62</v>
      </c>
      <c r="AA42" s="27">
        <f t="shared" si="5"/>
        <v>62</v>
      </c>
      <c r="AB42" s="31" t="str">
        <f t="shared" si="20"/>
        <v/>
      </c>
      <c r="AC42" s="31">
        <f t="shared" si="6"/>
        <v>0.04</v>
      </c>
      <c r="AD42" s="28">
        <f t="shared" si="7"/>
        <v>254443.81834678605</v>
      </c>
      <c r="AE42" s="10">
        <f t="shared" si="8"/>
        <v>0.03</v>
      </c>
      <c r="AF42" s="28">
        <f t="shared" si="9"/>
        <v>347793.39936032071</v>
      </c>
      <c r="AG42" s="28" t="str">
        <f t="shared" si="21"/>
        <v/>
      </c>
      <c r="AH42" s="28">
        <f t="shared" si="22"/>
        <v>101777.52733871443</v>
      </c>
      <c r="AI42" s="28" t="str">
        <f t="shared" si="10"/>
        <v/>
      </c>
      <c r="AJ42" s="28">
        <f t="shared" si="11"/>
        <v>101777.52733871443</v>
      </c>
      <c r="AK42" s="28">
        <f t="shared" si="23"/>
        <v>152666.29100807162</v>
      </c>
      <c r="AL42" s="28" t="str">
        <f t="shared" si="12"/>
        <v/>
      </c>
      <c r="AM42" s="28">
        <f t="shared" si="13"/>
        <v>152666.29100807162</v>
      </c>
      <c r="AN42" s="28">
        <f t="shared" si="14"/>
        <v>-50888.763669357199</v>
      </c>
      <c r="AO42" s="32">
        <f t="shared" si="15"/>
        <v>7.4999999999999997E-2</v>
      </c>
      <c r="AP42" s="33">
        <f t="shared" si="16"/>
        <v>1850824.4115065194</v>
      </c>
      <c r="AQ42" s="34">
        <f t="shared" si="17"/>
        <v>-50888.763669357199</v>
      </c>
      <c r="AR42" s="28">
        <f t="shared" si="18"/>
        <v>1799935.6478371623</v>
      </c>
      <c r="AT42">
        <v>1.4876422937959433</v>
      </c>
      <c r="AU42">
        <v>1.1838892532978207</v>
      </c>
      <c r="AV42">
        <v>0.64620962803019211</v>
      </c>
      <c r="DE42" t="str">
        <f t="shared" si="19"/>
        <v/>
      </c>
      <c r="DF42" s="38"/>
      <c r="DG42" s="28"/>
      <c r="DH42" s="10"/>
    </row>
    <row r="43" spans="1:189" x14ac:dyDescent="0.2">
      <c r="A43" s="137" t="s">
        <v>104</v>
      </c>
      <c r="B43" s="137"/>
      <c r="Z43">
        <f t="shared" si="4"/>
        <v>63</v>
      </c>
      <c r="AA43" s="27">
        <f t="shared" si="5"/>
        <v>63</v>
      </c>
      <c r="AB43" s="31" t="str">
        <f t="shared" si="20"/>
        <v/>
      </c>
      <c r="AC43" s="31">
        <f t="shared" si="6"/>
        <v>0.04</v>
      </c>
      <c r="AD43" s="28">
        <f t="shared" si="7"/>
        <v>264621.57108065748</v>
      </c>
      <c r="AE43" s="10">
        <f t="shared" si="8"/>
        <v>0.03</v>
      </c>
      <c r="AF43" s="28">
        <f t="shared" si="9"/>
        <v>358227.20134113036</v>
      </c>
      <c r="AG43" s="28" t="str">
        <f t="shared" si="21"/>
        <v/>
      </c>
      <c r="AH43" s="28">
        <f t="shared" si="22"/>
        <v>105848.62843226299</v>
      </c>
      <c r="AI43" s="28">
        <f t="shared" si="10"/>
        <v>31754.588529678895</v>
      </c>
      <c r="AJ43" s="28">
        <f t="shared" si="11"/>
        <v>137603.21696194189</v>
      </c>
      <c r="AK43" s="28">
        <f t="shared" si="23"/>
        <v>158772.94264839447</v>
      </c>
      <c r="AL43" s="28" t="str">
        <f t="shared" si="12"/>
        <v/>
      </c>
      <c r="AM43" s="28">
        <f t="shared" si="13"/>
        <v>158772.94264839447</v>
      </c>
      <c r="AN43" s="28">
        <f t="shared" si="14"/>
        <v>-21169.725686452584</v>
      </c>
      <c r="AO43" s="32">
        <f t="shared" si="15"/>
        <v>7.4999999999999997E-2</v>
      </c>
      <c r="AP43" s="33">
        <f t="shared" si="16"/>
        <v>1934930.8214249494</v>
      </c>
      <c r="AQ43" s="34">
        <f t="shared" si="17"/>
        <v>-21169.725686452584</v>
      </c>
      <c r="AR43" s="28">
        <f t="shared" si="18"/>
        <v>1913761.0957384969</v>
      </c>
      <c r="AT43">
        <v>-0.94496726887882687</v>
      </c>
      <c r="AU43">
        <v>1.5271962183760479</v>
      </c>
      <c r="AV43">
        <v>0.55886971495056059</v>
      </c>
      <c r="BM43" s="103" t="s">
        <v>92</v>
      </c>
      <c r="BN43" s="103"/>
      <c r="BO43" s="103"/>
      <c r="BP43" s="103"/>
      <c r="BQ43" s="103"/>
      <c r="BR43" s="103"/>
      <c r="BS43" s="103"/>
      <c r="BT43" s="103"/>
      <c r="BU43" s="103"/>
      <c r="BV43" s="103"/>
      <c r="DF43" s="38"/>
      <c r="DG43" s="28"/>
      <c r="DH43" s="10"/>
    </row>
    <row r="44" spans="1:189" x14ac:dyDescent="0.2">
      <c r="A44" s="75" t="s">
        <v>100</v>
      </c>
      <c r="B44" s="3">
        <v>6</v>
      </c>
      <c r="D44" s="138" t="s">
        <v>108</v>
      </c>
      <c r="E44" s="138"/>
      <c r="Z44">
        <f t="shared" si="4"/>
        <v>64</v>
      </c>
      <c r="AA44" s="27">
        <f t="shared" si="5"/>
        <v>64</v>
      </c>
      <c r="AB44" s="31" t="str">
        <f t="shared" si="20"/>
        <v/>
      </c>
      <c r="AC44" s="31">
        <f t="shared" si="6"/>
        <v>0.04</v>
      </c>
      <c r="AD44" s="28">
        <f t="shared" si="7"/>
        <v>275206.43392388377</v>
      </c>
      <c r="AE44" s="10">
        <f t="shared" si="8"/>
        <v>0.03</v>
      </c>
      <c r="AF44" s="28">
        <f t="shared" si="9"/>
        <v>368974.01738136431</v>
      </c>
      <c r="AG44" s="28" t="str">
        <f t="shared" si="21"/>
        <v/>
      </c>
      <c r="AH44" s="28">
        <f t="shared" si="22"/>
        <v>110082.57356955351</v>
      </c>
      <c r="AI44" s="28">
        <f t="shared" si="10"/>
        <v>33024.772070866049</v>
      </c>
      <c r="AJ44" s="28">
        <f t="shared" si="11"/>
        <v>143107.34564041957</v>
      </c>
      <c r="AK44" s="28">
        <f t="shared" si="23"/>
        <v>165123.86035433025</v>
      </c>
      <c r="AL44" s="28" t="str">
        <f t="shared" si="12"/>
        <v/>
      </c>
      <c r="AM44" s="28">
        <f t="shared" si="13"/>
        <v>165123.86035433025</v>
      </c>
      <c r="AN44" s="28">
        <f t="shared" si="14"/>
        <v>-22016.51471391067</v>
      </c>
      <c r="AO44" s="32">
        <f t="shared" si="15"/>
        <v>7.4999999999999997E-2</v>
      </c>
      <c r="AP44" s="33">
        <f t="shared" si="16"/>
        <v>2057293.177918884</v>
      </c>
      <c r="AQ44" s="34">
        <f t="shared" si="17"/>
        <v>-22016.51471391067</v>
      </c>
      <c r="AR44" s="28">
        <f t="shared" si="18"/>
        <v>2035276.6632049733</v>
      </c>
      <c r="AT44">
        <v>1.6551030057598837</v>
      </c>
      <c r="AU44">
        <v>0.61799823924957309</v>
      </c>
      <c r="AV44">
        <v>0.90219145931769162</v>
      </c>
      <c r="BL44" s="28">
        <f ca="1">Shortfall</f>
        <v>393358.52297310706</v>
      </c>
      <c r="BM44" s="53">
        <v>0</v>
      </c>
      <c r="BN44" s="55">
        <v>0.05</v>
      </c>
      <c r="BO44" s="53">
        <v>0.1</v>
      </c>
      <c r="BP44" s="55">
        <v>0.15</v>
      </c>
      <c r="BQ44" s="53">
        <v>0.2</v>
      </c>
      <c r="BR44" s="55">
        <v>0.25</v>
      </c>
      <c r="BS44" s="53">
        <v>0.3</v>
      </c>
      <c r="BT44" s="55">
        <v>0.35</v>
      </c>
      <c r="BU44" s="53">
        <v>0.4</v>
      </c>
      <c r="BV44" s="55">
        <v>0.45</v>
      </c>
      <c r="BW44" s="52"/>
      <c r="BX44" s="48"/>
      <c r="BY44" s="52"/>
      <c r="DF44" s="38"/>
      <c r="DG44" s="28"/>
      <c r="DH44" s="10"/>
    </row>
    <row r="45" spans="1:189" x14ac:dyDescent="0.2">
      <c r="A45" s="1" t="s">
        <v>101</v>
      </c>
      <c r="B45" s="10">
        <f>SUMPRODUCT(B34:B36,C34:C36)</f>
        <v>7.4999999999999997E-2</v>
      </c>
      <c r="D45" s="138"/>
      <c r="E45" s="138"/>
      <c r="Z45">
        <f t="shared" si="4"/>
        <v>65</v>
      </c>
      <c r="AA45" s="27">
        <f t="shared" si="5"/>
        <v>65</v>
      </c>
      <c r="AB45" s="31" t="str">
        <f t="shared" si="20"/>
        <v/>
      </c>
      <c r="AC45" s="31">
        <f t="shared" si="6"/>
        <v>0.04</v>
      </c>
      <c r="AD45" s="28">
        <f t="shared" si="7"/>
        <v>286214.69128083915</v>
      </c>
      <c r="AE45" s="10">
        <f t="shared" si="8"/>
        <v>0.03</v>
      </c>
      <c r="AF45" s="28">
        <f t="shared" si="9"/>
        <v>380043.23790280527</v>
      </c>
      <c r="AG45" s="28" t="str">
        <f t="shared" si="21"/>
        <v/>
      </c>
      <c r="AH45" s="28">
        <f t="shared" si="22"/>
        <v>114485.87651233567</v>
      </c>
      <c r="AI45" s="28">
        <f t="shared" si="10"/>
        <v>34345.762953700694</v>
      </c>
      <c r="AJ45" s="28">
        <f t="shared" si="11"/>
        <v>148831.63946603637</v>
      </c>
      <c r="AK45" s="28">
        <f t="shared" si="23"/>
        <v>171728.81476850348</v>
      </c>
      <c r="AL45" s="28" t="str">
        <f t="shared" si="12"/>
        <v/>
      </c>
      <c r="AM45" s="28">
        <f t="shared" si="13"/>
        <v>171728.81476850348</v>
      </c>
      <c r="AN45" s="28">
        <f t="shared" si="14"/>
        <v>-22897.175302467105</v>
      </c>
      <c r="AO45" s="32">
        <f t="shared" si="15"/>
        <v>7.4999999999999997E-2</v>
      </c>
      <c r="AP45" s="33">
        <f t="shared" si="16"/>
        <v>2187922.4129453464</v>
      </c>
      <c r="AQ45" s="34">
        <f t="shared" si="17"/>
        <v>-22897.175302467105</v>
      </c>
      <c r="AR45" s="28">
        <f t="shared" si="18"/>
        <v>2165025.2376428791</v>
      </c>
      <c r="AT45">
        <v>-2.1093637769808993</v>
      </c>
      <c r="AU45">
        <v>-0.40994791561388411</v>
      </c>
      <c r="AV45">
        <v>-0.79179471867973916</v>
      </c>
      <c r="BK45" s="104" t="s">
        <v>93</v>
      </c>
      <c r="BL45" s="56">
        <v>0</v>
      </c>
      <c r="BM45" s="28">
        <f t="dataTable" ref="BM45:BV56" dt2D="1" dtr="1" r1="B34" r2="B35" ca="1"/>
        <v>-7598511.4800119363</v>
      </c>
      <c r="BN45" s="28">
        <v>-5174706.6452833591</v>
      </c>
      <c r="BO45" s="28">
        <v>-3132503.8096110616</v>
      </c>
      <c r="BP45" s="28">
        <v>-1414988.5416853693</v>
      </c>
      <c r="BQ45" s="28">
        <v>26336.445446000434</v>
      </c>
      <c r="BR45" s="28">
        <v>1232792.7481678899</v>
      </c>
      <c r="BS45" s="28">
        <v>2239585.2820201763</v>
      </c>
      <c r="BT45" s="28">
        <v>3076705.5087121753</v>
      </c>
      <c r="BU45" s="28">
        <v>3769701.675269301</v>
      </c>
      <c r="BV45" s="28">
        <v>4340335.5491379965</v>
      </c>
      <c r="DF45" s="38"/>
      <c r="DG45" s="28"/>
      <c r="DH45" s="10"/>
    </row>
    <row r="46" spans="1:189" x14ac:dyDescent="0.2">
      <c r="A46" s="76" t="s">
        <v>102</v>
      </c>
      <c r="B46" s="10">
        <f>SQRT($B$34^2*$D$34^2+$B$35^2*$D$35^2+$B$36^2*$D$36^2+2*$B$34*$B$35*$D$34*$D$35*$F$34+2*$B$35*$B$36*$D$35*$D$36*$G$35+2*$B$34*$B$36*$D$34*$D$36*$G$34)</f>
        <v>0.12855846918814801</v>
      </c>
      <c r="Z46">
        <f t="shared" si="4"/>
        <v>66</v>
      </c>
      <c r="AA46" s="27">
        <f t="shared" si="5"/>
        <v>66</v>
      </c>
      <c r="AB46" s="31" t="str">
        <f t="shared" si="20"/>
        <v/>
      </c>
      <c r="AC46" s="31">
        <f t="shared" si="6"/>
        <v>0.04</v>
      </c>
      <c r="AD46" s="28">
        <f t="shared" si="7"/>
        <v>297663.27893207275</v>
      </c>
      <c r="AE46" s="10">
        <f t="shared" si="8"/>
        <v>0.03</v>
      </c>
      <c r="AF46" s="28">
        <f t="shared" si="9"/>
        <v>391444.53503988945</v>
      </c>
      <c r="AG46" s="28" t="str">
        <f t="shared" si="21"/>
        <v/>
      </c>
      <c r="AH46" s="28">
        <f t="shared" si="22"/>
        <v>119065.3115728291</v>
      </c>
      <c r="AI46" s="28">
        <f t="shared" si="10"/>
        <v>35719.593471848726</v>
      </c>
      <c r="AJ46" s="28">
        <f t="shared" si="11"/>
        <v>154784.90504467784</v>
      </c>
      <c r="AK46" s="28">
        <f t="shared" si="23"/>
        <v>178597.96735924363</v>
      </c>
      <c r="AL46" s="28" t="str">
        <f t="shared" si="12"/>
        <v/>
      </c>
      <c r="AM46" s="28">
        <f t="shared" si="13"/>
        <v>178597.96735924363</v>
      </c>
      <c r="AN46" s="28">
        <f t="shared" si="14"/>
        <v>-23813.062314565788</v>
      </c>
      <c r="AO46" s="32">
        <f t="shared" si="15"/>
        <v>7.4999999999999997E-2</v>
      </c>
      <c r="AP46" s="33">
        <f t="shared" si="16"/>
        <v>2327402.1304660952</v>
      </c>
      <c r="AQ46" s="34">
        <f t="shared" si="17"/>
        <v>-23813.062314565788</v>
      </c>
      <c r="AR46" s="28">
        <f t="shared" si="18"/>
        <v>2303589.0681515294</v>
      </c>
      <c r="AT46">
        <v>0.51137476475560106</v>
      </c>
      <c r="AU46">
        <v>0.12952909855812322</v>
      </c>
      <c r="AV46">
        <v>0.75608340921462514</v>
      </c>
      <c r="BK46" s="104"/>
      <c r="BL46" s="56">
        <v>0.05</v>
      </c>
      <c r="BM46" s="28">
        <v>-6163102.9362449404</v>
      </c>
      <c r="BN46" s="28">
        <v>-3964865.2135652727</v>
      </c>
      <c r="BO46" s="28">
        <v>-2114596.7149661426</v>
      </c>
      <c r="BP46" s="28">
        <v>-560356.50771641696</v>
      </c>
      <c r="BQ46" s="28">
        <v>742112.64536614961</v>
      </c>
      <c r="BR46" s="28">
        <v>1830517.9740387253</v>
      </c>
      <c r="BS46" s="28">
        <v>2736983.6886878125</v>
      </c>
      <c r="BT46" s="28">
        <v>3488875.6471779142</v>
      </c>
      <c r="BU46" s="28">
        <v>4109504.5406413795</v>
      </c>
      <c r="BV46" s="28">
        <v>4618725.408578665</v>
      </c>
      <c r="DF46" s="38"/>
      <c r="DG46" s="28"/>
      <c r="DH46" s="10"/>
    </row>
    <row r="47" spans="1:189" x14ac:dyDescent="0.2">
      <c r="A47" s="76" t="s">
        <v>103</v>
      </c>
      <c r="B47" s="77">
        <f>B45-0.5*B44*B46^2</f>
        <v>2.5418159999999995E-2</v>
      </c>
      <c r="D47" s="138" t="s">
        <v>108</v>
      </c>
      <c r="E47" s="138"/>
      <c r="Z47">
        <f t="shared" si="4"/>
        <v>67</v>
      </c>
      <c r="AA47" s="27">
        <f t="shared" si="5"/>
        <v>67</v>
      </c>
      <c r="AB47" s="31" t="str">
        <f t="shared" si="20"/>
        <v/>
      </c>
      <c r="AC47" s="31">
        <f t="shared" si="6"/>
        <v>0.04</v>
      </c>
      <c r="AD47" s="28">
        <f t="shared" si="7"/>
        <v>309569.81008935568</v>
      </c>
      <c r="AE47" s="10">
        <f t="shared" si="8"/>
        <v>0.03</v>
      </c>
      <c r="AF47" s="28">
        <f t="shared" si="9"/>
        <v>403187.87109108613</v>
      </c>
      <c r="AG47" s="28" t="str">
        <f t="shared" si="21"/>
        <v/>
      </c>
      <c r="AH47" s="28">
        <f t="shared" si="22"/>
        <v>123827.92403574228</v>
      </c>
      <c r="AI47" s="28">
        <f t="shared" si="10"/>
        <v>37148.377210722683</v>
      </c>
      <c r="AJ47" s="28">
        <f t="shared" si="11"/>
        <v>160976.30124646495</v>
      </c>
      <c r="AK47" s="28">
        <f t="shared" si="23"/>
        <v>185741.88605361342</v>
      </c>
      <c r="AL47" s="28" t="str">
        <f t="shared" si="12"/>
        <v/>
      </c>
      <c r="AM47" s="28">
        <f t="shared" si="13"/>
        <v>185741.88605361342</v>
      </c>
      <c r="AN47" s="28">
        <f t="shared" si="14"/>
        <v>-24765.584807148465</v>
      </c>
      <c r="AO47" s="32">
        <f t="shared" si="15"/>
        <v>7.4999999999999997E-2</v>
      </c>
      <c r="AP47" s="33">
        <f t="shared" si="16"/>
        <v>2476358.2482628939</v>
      </c>
      <c r="AQ47" s="34">
        <f t="shared" si="17"/>
        <v>-24765.584807148465</v>
      </c>
      <c r="AR47" s="28">
        <f t="shared" si="18"/>
        <v>2451592.6634557452</v>
      </c>
      <c r="AT47">
        <v>-1.012776920106262</v>
      </c>
      <c r="AU47">
        <v>-1.4167380868457258</v>
      </c>
      <c r="AV47">
        <v>1.7962702258955687</v>
      </c>
      <c r="BK47" s="104"/>
      <c r="BL47" s="56">
        <v>0.1</v>
      </c>
      <c r="BM47" s="28">
        <v>-4861027.0834995992</v>
      </c>
      <c r="BN47" s="28">
        <v>-2868481.7344447733</v>
      </c>
      <c r="BO47" s="28">
        <v>-1193211.5468325233</v>
      </c>
      <c r="BP47" s="28">
        <v>212184.23060669401</v>
      </c>
      <c r="BQ47" s="28">
        <v>1388092.4482283092</v>
      </c>
      <c r="BR47" s="28">
        <v>2368921.2749300352</v>
      </c>
      <c r="BS47" s="28">
        <v>3183983.1141435714</v>
      </c>
      <c r="BT47" s="28">
        <v>3858247.5061636264</v>
      </c>
      <c r="BU47" s="28">
        <v>4412983.0682351217</v>
      </c>
      <c r="BV47" s="28">
        <v>4866304.7516609868</v>
      </c>
      <c r="DF47" s="38"/>
      <c r="DG47" s="28"/>
      <c r="DH47" s="10"/>
    </row>
    <row r="48" spans="1:189" x14ac:dyDescent="0.2">
      <c r="A48" s="76" t="s">
        <v>105</v>
      </c>
      <c r="B48" s="31">
        <f>SUM(B34:B36)</f>
        <v>1</v>
      </c>
      <c r="D48" s="138"/>
      <c r="E48" s="138"/>
      <c r="Z48">
        <f t="shared" si="4"/>
        <v>68</v>
      </c>
      <c r="AA48" s="27">
        <f t="shared" si="5"/>
        <v>68</v>
      </c>
      <c r="AB48" s="31" t="str">
        <f t="shared" si="20"/>
        <v/>
      </c>
      <c r="AC48" s="31">
        <f t="shared" si="6"/>
        <v>0.04</v>
      </c>
      <c r="AD48" s="28">
        <f t="shared" si="7"/>
        <v>321952.6024929299</v>
      </c>
      <c r="AE48" s="10">
        <f t="shared" si="8"/>
        <v>0.03</v>
      </c>
      <c r="AF48" s="28">
        <f t="shared" si="9"/>
        <v>415283.50722381874</v>
      </c>
      <c r="AG48" s="28" t="str">
        <f t="shared" si="21"/>
        <v/>
      </c>
      <c r="AH48" s="28">
        <f t="shared" si="22"/>
        <v>128781.04099717196</v>
      </c>
      <c r="AI48" s="28">
        <f t="shared" si="10"/>
        <v>38634.312299151585</v>
      </c>
      <c r="AJ48" s="28">
        <f t="shared" si="11"/>
        <v>167415.35329632356</v>
      </c>
      <c r="AK48" s="28">
        <f t="shared" si="23"/>
        <v>193171.56149575792</v>
      </c>
      <c r="AL48" s="28" t="str">
        <f t="shared" si="12"/>
        <v/>
      </c>
      <c r="AM48" s="28">
        <f t="shared" si="13"/>
        <v>193171.56149575792</v>
      </c>
      <c r="AN48" s="28">
        <f t="shared" si="14"/>
        <v>-25756.208199434361</v>
      </c>
      <c r="AO48" s="32">
        <f t="shared" si="15"/>
        <v>7.4999999999999997E-2</v>
      </c>
      <c r="AP48" s="33">
        <f t="shared" si="16"/>
        <v>2635462.1132149259</v>
      </c>
      <c r="AQ48" s="34">
        <f t="shared" si="17"/>
        <v>-25756.208199434361</v>
      </c>
      <c r="AR48" s="28">
        <f t="shared" si="18"/>
        <v>2609705.9050154914</v>
      </c>
      <c r="AT48">
        <v>-0.49289155867882073</v>
      </c>
      <c r="AU48">
        <v>1.1038423508580308</v>
      </c>
      <c r="AV48">
        <v>-1.3158091860532295</v>
      </c>
      <c r="BK48" s="104"/>
      <c r="BL48" s="56">
        <v>0.15</v>
      </c>
      <c r="BM48" s="28">
        <v>-3680539.3134126063</v>
      </c>
      <c r="BN48" s="28">
        <v>-1875548.0003404873</v>
      </c>
      <c r="BO48" s="28">
        <v>-359820.49919355614</v>
      </c>
      <c r="BP48" s="28">
        <v>909899.47857425385</v>
      </c>
      <c r="BQ48" s="28">
        <v>1970465.9509691154</v>
      </c>
      <c r="BR48" s="28">
        <v>2853275.917867824</v>
      </c>
      <c r="BS48" s="28">
        <v>3585075.4733174639</v>
      </c>
      <c r="BT48" s="28">
        <v>4188647.1556977881</v>
      </c>
      <c r="BU48" s="28">
        <v>4683395.9504770217</v>
      </c>
      <c r="BV48" s="28">
        <v>5085848.8240980208</v>
      </c>
      <c r="DF48" s="38"/>
      <c r="DG48" s="28"/>
      <c r="DH48" s="10"/>
    </row>
    <row r="49" spans="1:112" x14ac:dyDescent="0.2">
      <c r="A49" s="76" t="s">
        <v>106</v>
      </c>
      <c r="B49" s="78" t="s">
        <v>107</v>
      </c>
      <c r="Z49">
        <f t="shared" si="4"/>
        <v>69</v>
      </c>
      <c r="AA49" s="27">
        <f t="shared" si="5"/>
        <v>69</v>
      </c>
      <c r="AB49" s="31" t="str">
        <f t="shared" si="20"/>
        <v/>
      </c>
      <c r="AC49" s="31">
        <f t="shared" si="6"/>
        <v>0.04</v>
      </c>
      <c r="AD49" s="28">
        <f t="shared" si="7"/>
        <v>334830.70659264713</v>
      </c>
      <c r="AE49" s="10">
        <f t="shared" si="8"/>
        <v>0.03</v>
      </c>
      <c r="AF49" s="28">
        <f t="shared" si="9"/>
        <v>427742.01244053332</v>
      </c>
      <c r="AG49" s="28" t="str">
        <f t="shared" si="21"/>
        <v/>
      </c>
      <c r="AH49" s="28">
        <f t="shared" si="22"/>
        <v>133932.28263705884</v>
      </c>
      <c r="AI49" s="28">
        <f t="shared" si="10"/>
        <v>40179.684791117652</v>
      </c>
      <c r="AJ49" s="28">
        <f t="shared" si="11"/>
        <v>174111.96742817649</v>
      </c>
      <c r="AK49" s="28">
        <f t="shared" si="23"/>
        <v>200898.42395558828</v>
      </c>
      <c r="AL49" s="28" t="str">
        <f t="shared" si="12"/>
        <v/>
      </c>
      <c r="AM49" s="28">
        <f t="shared" si="13"/>
        <v>200898.42395558828</v>
      </c>
      <c r="AN49" s="28">
        <f t="shared" si="14"/>
        <v>-26786.456527411792</v>
      </c>
      <c r="AO49" s="32">
        <f t="shared" si="15"/>
        <v>7.4999999999999997E-2</v>
      </c>
      <c r="AP49" s="33">
        <f t="shared" si="16"/>
        <v>2805433.847891653</v>
      </c>
      <c r="AQ49" s="34">
        <f t="shared" si="17"/>
        <v>-26786.456527411792</v>
      </c>
      <c r="AR49" s="28">
        <f t="shared" si="18"/>
        <v>2778647.391364241</v>
      </c>
      <c r="AT49">
        <v>-0.85680539996246807</v>
      </c>
      <c r="AU49">
        <v>0.3526827185851289</v>
      </c>
      <c r="AV49">
        <v>-0.73137016443070024</v>
      </c>
      <c r="BK49" s="104"/>
      <c r="BL49" s="56">
        <v>0.2</v>
      </c>
      <c r="BM49" s="28">
        <v>-2610921.001767775</v>
      </c>
      <c r="BN49" s="28">
        <v>-976930.54730194586</v>
      </c>
      <c r="BO49" s="28">
        <v>393358.52297310706</v>
      </c>
      <c r="BP49" s="28">
        <v>1539419.3970161187</v>
      </c>
      <c r="BQ49" s="28">
        <v>2494881.4787614117</v>
      </c>
      <c r="BR49" s="28">
        <v>3288393.4470804459</v>
      </c>
      <c r="BS49" s="28">
        <v>3944359.2093226542</v>
      </c>
      <c r="BT49" s="28">
        <v>4483565.3779505286</v>
      </c>
      <c r="BU49" s="28">
        <v>4923716.1875712229</v>
      </c>
      <c r="BV49" s="28">
        <v>5279889.4495758442</v>
      </c>
      <c r="DF49" s="38"/>
      <c r="DG49" s="28"/>
      <c r="DH49" s="10"/>
    </row>
    <row r="50" spans="1:112" x14ac:dyDescent="0.2">
      <c r="Z50">
        <f t="shared" si="4"/>
        <v>70</v>
      </c>
      <c r="AA50" s="27">
        <f t="shared" si="5"/>
        <v>70</v>
      </c>
      <c r="AB50" s="31" t="str">
        <f t="shared" si="20"/>
        <v/>
      </c>
      <c r="AC50" s="31">
        <f t="shared" si="6"/>
        <v>0.04</v>
      </c>
      <c r="AD50" s="28">
        <f t="shared" si="7"/>
        <v>348223.93485635304</v>
      </c>
      <c r="AE50" s="10">
        <f t="shared" si="8"/>
        <v>0.03</v>
      </c>
      <c r="AF50" s="28">
        <f t="shared" si="9"/>
        <v>440574.27281374932</v>
      </c>
      <c r="AG50" s="28" t="str">
        <f t="shared" si="21"/>
        <v/>
      </c>
      <c r="AH50" s="28">
        <f t="shared" si="22"/>
        <v>139289.57394254123</v>
      </c>
      <c r="AI50" s="28">
        <f t="shared" si="10"/>
        <v>41786.872182762359</v>
      </c>
      <c r="AJ50" s="28">
        <f t="shared" si="11"/>
        <v>181076.4461253036</v>
      </c>
      <c r="AK50" s="28">
        <f t="shared" si="23"/>
        <v>208934.3609138118</v>
      </c>
      <c r="AL50" s="28" t="str">
        <f t="shared" si="12"/>
        <v/>
      </c>
      <c r="AM50" s="28">
        <f t="shared" si="13"/>
        <v>208934.3609138118</v>
      </c>
      <c r="AN50" s="28">
        <f t="shared" si="14"/>
        <v>-27857.914788508206</v>
      </c>
      <c r="AO50" s="32">
        <f t="shared" si="15"/>
        <v>7.4999999999999997E-2</v>
      </c>
      <c r="AP50" s="33">
        <f t="shared" si="16"/>
        <v>2987045.945716559</v>
      </c>
      <c r="AQ50" s="34">
        <f t="shared" si="17"/>
        <v>-27857.914788508206</v>
      </c>
      <c r="AR50" s="28">
        <f t="shared" si="18"/>
        <v>2959188.0309280506</v>
      </c>
      <c r="AT50">
        <v>0.53065150495967828</v>
      </c>
      <c r="AU50">
        <v>2.2419590095523745</v>
      </c>
      <c r="AV50">
        <v>-0.90507001004880294</v>
      </c>
      <c r="BK50" s="104"/>
      <c r="BL50" s="56">
        <v>0.25</v>
      </c>
      <c r="BM50" s="28">
        <v>-1642390.1585380058</v>
      </c>
      <c r="BN50" s="28">
        <v>-164294.42224077345</v>
      </c>
      <c r="BO50" s="28">
        <v>1073426.9335119934</v>
      </c>
      <c r="BP50" s="28">
        <v>2106793.9662537016</v>
      </c>
      <c r="BQ50" s="28">
        <v>2966492.8827830926</v>
      </c>
      <c r="BR50" s="28">
        <v>3678664.011965828</v>
      </c>
      <c r="BS50" s="28">
        <v>4265573.6739623034</v>
      </c>
      <c r="BT50" s="28">
        <v>4746186.9736748589</v>
      </c>
      <c r="BU50" s="28">
        <v>5136656.0658340324</v>
      </c>
      <c r="BV50" s="28">
        <v>5450736.3169457326</v>
      </c>
      <c r="DF50" s="38"/>
      <c r="DG50" s="28"/>
      <c r="DH50" s="10"/>
    </row>
    <row r="51" spans="1:112" x14ac:dyDescent="0.2">
      <c r="Z51">
        <f t="shared" si="4"/>
        <v>71</v>
      </c>
      <c r="AA51" s="27">
        <f t="shared" si="5"/>
        <v>71</v>
      </c>
      <c r="AB51" s="31" t="str">
        <f t="shared" si="20"/>
        <v/>
      </c>
      <c r="AC51" s="31">
        <f t="shared" si="6"/>
        <v>0.04</v>
      </c>
      <c r="AD51" s="28">
        <f t="shared" si="7"/>
        <v>362152.8922506072</v>
      </c>
      <c r="AE51" s="10">
        <f t="shared" si="8"/>
        <v>0.03</v>
      </c>
      <c r="AF51" s="28">
        <f t="shared" si="9"/>
        <v>453791.50099816179</v>
      </c>
      <c r="AG51" s="28" t="str">
        <f t="shared" si="21"/>
        <v/>
      </c>
      <c r="AH51" s="28" t="str">
        <f t="shared" si="22"/>
        <v/>
      </c>
      <c r="AI51" s="28">
        <f t="shared" si="10"/>
        <v>43458.347070072865</v>
      </c>
      <c r="AJ51" s="28">
        <f t="shared" si="11"/>
        <v>43458.347070072865</v>
      </c>
      <c r="AK51" s="28">
        <f t="shared" si="23"/>
        <v>217291.73535036432</v>
      </c>
      <c r="AL51" s="28" t="str">
        <f t="shared" si="12"/>
        <v/>
      </c>
      <c r="AM51" s="28">
        <f t="shared" si="13"/>
        <v>217291.73535036432</v>
      </c>
      <c r="AN51" s="28">
        <f t="shared" si="14"/>
        <v>-173833.38828029146</v>
      </c>
      <c r="AO51" s="32">
        <f t="shared" si="15"/>
        <v>7.4999999999999997E-2</v>
      </c>
      <c r="AP51" s="33">
        <f t="shared" si="16"/>
        <v>3181127.1332476544</v>
      </c>
      <c r="AQ51" s="34">
        <f t="shared" si="17"/>
        <v>-173833.38828029146</v>
      </c>
      <c r="AR51" s="28">
        <f t="shared" si="18"/>
        <v>3007293.7449673628</v>
      </c>
      <c r="AT51">
        <v>8.6973841462167911E-2</v>
      </c>
      <c r="AU51">
        <v>1.2383588909870014</v>
      </c>
      <c r="AV51">
        <v>-0.25001554604386911</v>
      </c>
      <c r="BK51" s="104"/>
      <c r="BL51" s="56">
        <v>0.3</v>
      </c>
      <c r="BM51" s="28">
        <v>-766019.82558027201</v>
      </c>
      <c r="BN51" s="28">
        <v>569966.43250957271</v>
      </c>
      <c r="BO51" s="28">
        <v>1686864.8443054622</v>
      </c>
      <c r="BP51" s="28">
        <v>2617543.626032549</v>
      </c>
      <c r="BQ51" s="28">
        <v>3390002.7205275558</v>
      </c>
      <c r="BR51" s="28">
        <v>4028093.1814087839</v>
      </c>
      <c r="BS51" s="28">
        <v>4552130.5104517164</v>
      </c>
      <c r="BT51" s="28">
        <v>4979417.5114815719</v>
      </c>
      <c r="BU51" s="28">
        <v>5324689.9551200205</v>
      </c>
      <c r="BV51" s="28">
        <v>5600496.4077266846</v>
      </c>
      <c r="DF51" s="38"/>
      <c r="DG51" s="28"/>
      <c r="DH51" s="10"/>
    </row>
    <row r="52" spans="1:112" x14ac:dyDescent="0.2">
      <c r="Z52">
        <f t="shared" si="4"/>
        <v>72</v>
      </c>
      <c r="AA52" s="27">
        <f t="shared" si="5"/>
        <v>72</v>
      </c>
      <c r="AB52" s="31" t="str">
        <f t="shared" si="20"/>
        <v/>
      </c>
      <c r="AC52" s="31">
        <f t="shared" si="6"/>
        <v>0.04</v>
      </c>
      <c r="AD52" s="28">
        <f t="shared" si="7"/>
        <v>376639.00794063148</v>
      </c>
      <c r="AE52" s="10">
        <f t="shared" si="8"/>
        <v>0.03</v>
      </c>
      <c r="AF52" s="28">
        <f t="shared" si="9"/>
        <v>467405.24602810666</v>
      </c>
      <c r="AG52" s="28" t="str">
        <f t="shared" si="21"/>
        <v/>
      </c>
      <c r="AH52" s="28" t="str">
        <f t="shared" si="22"/>
        <v/>
      </c>
      <c r="AI52" s="28">
        <f t="shared" si="10"/>
        <v>45196.680952875773</v>
      </c>
      <c r="AJ52" s="28">
        <f t="shared" si="11"/>
        <v>45196.680952875773</v>
      </c>
      <c r="AK52" s="28">
        <f t="shared" si="23"/>
        <v>225983.40476437888</v>
      </c>
      <c r="AL52" s="28" t="str">
        <f t="shared" si="12"/>
        <v/>
      </c>
      <c r="AM52" s="28">
        <f t="shared" si="13"/>
        <v>225983.40476437888</v>
      </c>
      <c r="AN52" s="28">
        <f t="shared" si="14"/>
        <v>-180786.72381150309</v>
      </c>
      <c r="AO52" s="32">
        <f t="shared" si="15"/>
        <v>7.4999999999999997E-2</v>
      </c>
      <c r="AP52" s="33">
        <f t="shared" si="16"/>
        <v>3232840.775839915</v>
      </c>
      <c r="AQ52" s="34">
        <f t="shared" si="17"/>
        <v>-180786.72381150309</v>
      </c>
      <c r="AR52" s="28">
        <f t="shared" si="18"/>
        <v>3052054.052028412</v>
      </c>
      <c r="AT52">
        <v>-0.98034888651454821</v>
      </c>
      <c r="AU52">
        <v>-0.24142082111211494</v>
      </c>
      <c r="AV52">
        <v>-0.22679728317598347</v>
      </c>
      <c r="BK52" s="104"/>
      <c r="BL52" s="56">
        <v>0.35</v>
      </c>
      <c r="BM52" s="28">
        <v>26336.445446000434</v>
      </c>
      <c r="BN52" s="28">
        <v>1232792.7481678899</v>
      </c>
      <c r="BO52" s="28">
        <v>2239585.2820201763</v>
      </c>
      <c r="BP52" s="28">
        <v>3076705.5087121753</v>
      </c>
      <c r="BQ52" s="28">
        <v>3769701.675269301</v>
      </c>
      <c r="BR52" s="28">
        <v>4340335.5491379965</v>
      </c>
      <c r="BS52" s="28">
        <v>4807142.2986158095</v>
      </c>
      <c r="BT52" s="28">
        <v>5185907.7422039071</v>
      </c>
      <c r="BU52" s="28">
        <v>5490075.1150920112</v>
      </c>
      <c r="BV52" s="28">
        <v>5731091.7258842317</v>
      </c>
      <c r="DF52" s="38"/>
      <c r="DG52" s="28"/>
      <c r="DH52" s="10"/>
    </row>
    <row r="53" spans="1:112" x14ac:dyDescent="0.2">
      <c r="Z53">
        <f t="shared" si="4"/>
        <v>73</v>
      </c>
      <c r="AA53" s="27">
        <f t="shared" si="5"/>
        <v>73</v>
      </c>
      <c r="AB53" s="31" t="str">
        <f t="shared" si="20"/>
        <v/>
      </c>
      <c r="AC53" s="31">
        <f t="shared" si="6"/>
        <v>0.04</v>
      </c>
      <c r="AD53" s="28">
        <f t="shared" si="7"/>
        <v>391704.56825825677</v>
      </c>
      <c r="AE53" s="10">
        <f t="shared" si="8"/>
        <v>0.03</v>
      </c>
      <c r="AF53" s="28">
        <f t="shared" si="9"/>
        <v>481427.40340894985</v>
      </c>
      <c r="AG53" s="28" t="str">
        <f t="shared" si="21"/>
        <v/>
      </c>
      <c r="AH53" s="28" t="str">
        <f t="shared" si="22"/>
        <v/>
      </c>
      <c r="AI53" s="28">
        <f t="shared" si="10"/>
        <v>47004.548190990812</v>
      </c>
      <c r="AJ53" s="28">
        <f t="shared" si="11"/>
        <v>47004.548190990812</v>
      </c>
      <c r="AK53" s="28">
        <f t="shared" si="23"/>
        <v>235022.74095495406</v>
      </c>
      <c r="AL53" s="28" t="str">
        <f t="shared" si="12"/>
        <v/>
      </c>
      <c r="AM53" s="28">
        <f t="shared" si="13"/>
        <v>235022.74095495406</v>
      </c>
      <c r="AN53" s="28">
        <f t="shared" si="14"/>
        <v>-188018.19276396325</v>
      </c>
      <c r="AO53" s="32">
        <f t="shared" si="15"/>
        <v>7.4999999999999997E-2</v>
      </c>
      <c r="AP53" s="33">
        <f t="shared" si="16"/>
        <v>3280958.1059305426</v>
      </c>
      <c r="AQ53" s="34">
        <f t="shared" si="17"/>
        <v>-188018.19276396325</v>
      </c>
      <c r="AR53" s="28">
        <f t="shared" si="18"/>
        <v>3092939.9131665793</v>
      </c>
      <c r="AT53">
        <v>0.73808450906653889</v>
      </c>
      <c r="AU53">
        <v>-0.33232140594918747</v>
      </c>
      <c r="AV53">
        <v>0.27940927793679293</v>
      </c>
      <c r="BK53" s="104"/>
      <c r="BL53" s="56">
        <v>0.4</v>
      </c>
      <c r="BM53" s="28">
        <v>742112.64536614961</v>
      </c>
      <c r="BN53" s="28">
        <v>1830517.9740387253</v>
      </c>
      <c r="BO53" s="28">
        <v>2736983.6886878125</v>
      </c>
      <c r="BP53" s="28">
        <v>3488875.6471779142</v>
      </c>
      <c r="BQ53" s="28">
        <v>4109504.5406413795</v>
      </c>
      <c r="BR53" s="28">
        <v>4618725.408578665</v>
      </c>
      <c r="BS53" s="28">
        <v>5033448.7003795542</v>
      </c>
      <c r="BT53" s="28">
        <v>5368075.8814112525</v>
      </c>
      <c r="BU53" s="28">
        <v>5634870.6836779015</v>
      </c>
      <c r="BV53" s="28">
        <v>5844275.4778255085</v>
      </c>
      <c r="DF53" s="38"/>
      <c r="DG53" s="28"/>
      <c r="DH53" s="10"/>
    </row>
    <row r="54" spans="1:112" x14ac:dyDescent="0.2">
      <c r="Z54">
        <f t="shared" si="4"/>
        <v>74</v>
      </c>
      <c r="AA54" s="27">
        <f t="shared" si="5"/>
        <v>74</v>
      </c>
      <c r="AB54" s="31" t="str">
        <f t="shared" si="20"/>
        <v/>
      </c>
      <c r="AC54" s="31">
        <f t="shared" si="6"/>
        <v>0.04</v>
      </c>
      <c r="AD54" s="28">
        <f t="shared" si="7"/>
        <v>407372.75098858704</v>
      </c>
      <c r="AE54" s="10">
        <f t="shared" si="8"/>
        <v>0.03</v>
      </c>
      <c r="AF54" s="28">
        <f t="shared" si="9"/>
        <v>495870.22551121836</v>
      </c>
      <c r="AG54" s="28" t="str">
        <f t="shared" si="21"/>
        <v/>
      </c>
      <c r="AH54" s="28" t="str">
        <f t="shared" si="22"/>
        <v/>
      </c>
      <c r="AI54" s="28">
        <f t="shared" si="10"/>
        <v>48884.730118630439</v>
      </c>
      <c r="AJ54" s="28">
        <f t="shared" si="11"/>
        <v>48884.730118630439</v>
      </c>
      <c r="AK54" s="28">
        <f t="shared" si="23"/>
        <v>244423.65059315221</v>
      </c>
      <c r="AL54" s="28" t="str">
        <f t="shared" si="12"/>
        <v/>
      </c>
      <c r="AM54" s="28">
        <f t="shared" si="13"/>
        <v>244423.65059315221</v>
      </c>
      <c r="AN54" s="28">
        <f t="shared" si="14"/>
        <v>-195538.92047452176</v>
      </c>
      <c r="AO54" s="32">
        <f t="shared" si="15"/>
        <v>7.4999999999999997E-2</v>
      </c>
      <c r="AP54" s="33">
        <f t="shared" si="16"/>
        <v>3324910.4066540725</v>
      </c>
      <c r="AQ54" s="34">
        <f t="shared" si="17"/>
        <v>-195538.92047452176</v>
      </c>
      <c r="AR54" s="28">
        <f t="shared" si="18"/>
        <v>3129371.4861795506</v>
      </c>
      <c r="AT54">
        <v>-1.7376169125782326</v>
      </c>
      <c r="AU54">
        <v>1.9385788618819788</v>
      </c>
      <c r="AV54">
        <v>1.6926696844166145</v>
      </c>
      <c r="BK54" s="104"/>
      <c r="BL54" s="56">
        <v>0.45</v>
      </c>
      <c r="BM54" s="28">
        <v>1388092.4482283092</v>
      </c>
      <c r="BN54" s="28">
        <v>2368921.2749300352</v>
      </c>
      <c r="BO54" s="28">
        <v>3183983.1141435714</v>
      </c>
      <c r="BP54" s="28">
        <v>3858247.5061636264</v>
      </c>
      <c r="BQ54" s="28">
        <v>4412983.0682351217</v>
      </c>
      <c r="BR54" s="28">
        <v>4866304.7516609868</v>
      </c>
      <c r="BS54" s="28">
        <v>5233640.3228452299</v>
      </c>
      <c r="BT54" s="28">
        <v>5528127.9455842208</v>
      </c>
      <c r="BU54" s="28">
        <v>5760955.0060547348</v>
      </c>
      <c r="BV54" s="28">
        <v>5941646.8377296505</v>
      </c>
      <c r="DF54" s="38"/>
      <c r="DG54" s="28"/>
      <c r="DH54" s="10"/>
    </row>
    <row r="55" spans="1:112" x14ac:dyDescent="0.2">
      <c r="Z55">
        <f t="shared" si="4"/>
        <v>75</v>
      </c>
      <c r="AA55" s="27">
        <f t="shared" si="5"/>
        <v>75</v>
      </c>
      <c r="AB55" s="31" t="str">
        <f t="shared" si="20"/>
        <v/>
      </c>
      <c r="AC55" s="31">
        <f t="shared" si="6"/>
        <v>0.04</v>
      </c>
      <c r="AD55" s="28">
        <f t="shared" si="7"/>
        <v>423667.66102813056</v>
      </c>
      <c r="AE55" s="10">
        <f t="shared" si="8"/>
        <v>0.03</v>
      </c>
      <c r="AF55" s="28">
        <f t="shared" si="9"/>
        <v>510746.33227655495</v>
      </c>
      <c r="AG55" s="28" t="str">
        <f t="shared" si="21"/>
        <v/>
      </c>
      <c r="AH55" s="28" t="str">
        <f t="shared" si="22"/>
        <v/>
      </c>
      <c r="AI55" s="28">
        <f t="shared" si="10"/>
        <v>50840.119323375664</v>
      </c>
      <c r="AJ55" s="28">
        <f t="shared" si="11"/>
        <v>50840.119323375664</v>
      </c>
      <c r="AK55" s="28">
        <f t="shared" si="23"/>
        <v>254200.59661687832</v>
      </c>
      <c r="AL55" s="28" t="str">
        <f t="shared" si="12"/>
        <v/>
      </c>
      <c r="AM55" s="28">
        <f t="shared" si="13"/>
        <v>254200.59661687832</v>
      </c>
      <c r="AN55" s="28">
        <f t="shared" si="14"/>
        <v>-203360.47729350266</v>
      </c>
      <c r="AO55" s="32">
        <f t="shared" si="15"/>
        <v>7.4999999999999997E-2</v>
      </c>
      <c r="AP55" s="33">
        <f t="shared" si="16"/>
        <v>3364074.3476430168</v>
      </c>
      <c r="AQ55" s="34">
        <f t="shared" si="17"/>
        <v>-203360.47729350266</v>
      </c>
      <c r="AR55" s="28">
        <f t="shared" si="18"/>
        <v>3160713.8703495143</v>
      </c>
      <c r="AT55">
        <v>0.86322643255698495</v>
      </c>
      <c r="AU55">
        <v>2.0198604033794254</v>
      </c>
      <c r="AV55">
        <v>-0.1091893864213489</v>
      </c>
      <c r="BK55" s="104"/>
      <c r="BL55" s="56">
        <v>0.5</v>
      </c>
      <c r="BM55" s="28">
        <v>1970465.9509691154</v>
      </c>
      <c r="BN55" s="28">
        <v>2853275.917867824</v>
      </c>
      <c r="BO55" s="28">
        <v>3585075.4733174639</v>
      </c>
      <c r="BP55" s="28">
        <v>4188647.1556977881</v>
      </c>
      <c r="BQ55" s="28">
        <v>4683395.9504770217</v>
      </c>
      <c r="BR55" s="28">
        <v>5085848.8240980208</v>
      </c>
      <c r="BS55" s="28">
        <v>5410080.4974814588</v>
      </c>
      <c r="BT55" s="28">
        <v>5668076.3114156881</v>
      </c>
      <c r="BU55" s="28">
        <v>5870041.4487860687</v>
      </c>
      <c r="BV55" s="28">
        <v>6024664.421613764</v>
      </c>
      <c r="DF55" s="38"/>
      <c r="DG55" s="28"/>
      <c r="DH55" s="10"/>
    </row>
    <row r="56" spans="1:112" x14ac:dyDescent="0.2">
      <c r="Z56">
        <f t="shared" si="4"/>
        <v>76</v>
      </c>
      <c r="AA56" s="27">
        <f t="shared" si="5"/>
        <v>76</v>
      </c>
      <c r="AB56" s="31" t="str">
        <f t="shared" si="20"/>
        <v/>
      </c>
      <c r="AC56" s="31">
        <f t="shared" si="6"/>
        <v>0.04</v>
      </c>
      <c r="AD56" s="28">
        <f t="shared" si="7"/>
        <v>440614.36746925581</v>
      </c>
      <c r="AE56" s="10">
        <f t="shared" si="8"/>
        <v>0.03</v>
      </c>
      <c r="AF56" s="28">
        <f t="shared" si="9"/>
        <v>526068.72224485164</v>
      </c>
      <c r="AG56" s="28" t="str">
        <f t="shared" si="21"/>
        <v/>
      </c>
      <c r="AH56" s="28" t="str">
        <f t="shared" si="22"/>
        <v/>
      </c>
      <c r="AI56" s="28">
        <f t="shared" si="10"/>
        <v>52873.724096310696</v>
      </c>
      <c r="AJ56" s="28">
        <f t="shared" si="11"/>
        <v>52873.724096310696</v>
      </c>
      <c r="AK56" s="28">
        <f t="shared" si="23"/>
        <v>264368.62048155349</v>
      </c>
      <c r="AL56" s="28" t="str">
        <f t="shared" si="12"/>
        <v/>
      </c>
      <c r="AM56" s="28">
        <f t="shared" si="13"/>
        <v>264368.62048155349</v>
      </c>
      <c r="AN56" s="28">
        <f t="shared" si="14"/>
        <v>-211494.89638524278</v>
      </c>
      <c r="AO56" s="32">
        <f t="shared" si="15"/>
        <v>7.4999999999999997E-2</v>
      </c>
      <c r="AP56" s="33">
        <f t="shared" si="16"/>
        <v>3397767.4106257278</v>
      </c>
      <c r="AQ56" s="34">
        <f t="shared" si="17"/>
        <v>-211494.89638524278</v>
      </c>
      <c r="AR56" s="28">
        <f t="shared" si="18"/>
        <v>3186272.5142404852</v>
      </c>
      <c r="AT56">
        <v>-2.1362939151003957</v>
      </c>
      <c r="AU56">
        <v>1.3609542293124832</v>
      </c>
      <c r="AV56">
        <v>-0.48616584535920992</v>
      </c>
      <c r="BK56" s="104"/>
      <c r="BL56" s="56">
        <v>0.55000000000000004</v>
      </c>
      <c r="BM56" s="28">
        <v>2494881.4787614117</v>
      </c>
      <c r="BN56" s="28">
        <v>3288393.4470804459</v>
      </c>
      <c r="BO56" s="28">
        <v>3944359.2093226542</v>
      </c>
      <c r="BP56" s="28">
        <v>4483565.3779505286</v>
      </c>
      <c r="BQ56" s="28">
        <v>4923716.1875712229</v>
      </c>
      <c r="BR56" s="28">
        <v>5279889.4495758442</v>
      </c>
      <c r="BS56" s="28">
        <v>5564925.1567879189</v>
      </c>
      <c r="BT56" s="28">
        <v>5789756.653033521</v>
      </c>
      <c r="BU56" s="28">
        <v>5963692.8312023599</v>
      </c>
      <c r="BV56" s="28">
        <v>6094658.5828247508</v>
      </c>
      <c r="DF56" s="38"/>
      <c r="DG56" s="28"/>
      <c r="DH56" s="10"/>
    </row>
    <row r="57" spans="1:112" x14ac:dyDescent="0.2">
      <c r="Z57">
        <f t="shared" si="4"/>
        <v>77</v>
      </c>
      <c r="AA57" s="27">
        <f t="shared" si="5"/>
        <v>77</v>
      </c>
      <c r="AB57" s="31" t="str">
        <f t="shared" si="20"/>
        <v/>
      </c>
      <c r="AC57" s="31">
        <f t="shared" si="6"/>
        <v>0.04</v>
      </c>
      <c r="AD57" s="28">
        <f t="shared" si="7"/>
        <v>458238.94216802606</v>
      </c>
      <c r="AE57" s="10">
        <f t="shared" si="8"/>
        <v>0.03</v>
      </c>
      <c r="AF57" s="28">
        <f t="shared" si="9"/>
        <v>541850.78391219722</v>
      </c>
      <c r="AG57" s="28" t="str">
        <f t="shared" si="21"/>
        <v/>
      </c>
      <c r="AH57" s="28" t="str">
        <f t="shared" si="22"/>
        <v/>
      </c>
      <c r="AI57" s="28">
        <f t="shared" si="10"/>
        <v>54988.673060163128</v>
      </c>
      <c r="AJ57" s="28">
        <f t="shared" si="11"/>
        <v>54988.673060163128</v>
      </c>
      <c r="AK57" s="28">
        <f t="shared" si="23"/>
        <v>274943.36530081561</v>
      </c>
      <c r="AL57" s="28" t="str">
        <f t="shared" si="12"/>
        <v/>
      </c>
      <c r="AM57" s="28">
        <f t="shared" si="13"/>
        <v>274943.36530081561</v>
      </c>
      <c r="AN57" s="28">
        <f t="shared" si="14"/>
        <v>-219954.69224065248</v>
      </c>
      <c r="AO57" s="32">
        <f t="shared" si="15"/>
        <v>7.4999999999999997E-2</v>
      </c>
      <c r="AP57" s="33">
        <f t="shared" si="16"/>
        <v>3425242.9528085212</v>
      </c>
      <c r="AQ57" s="34">
        <f t="shared" si="17"/>
        <v>-219954.69224065248</v>
      </c>
      <c r="AR57" s="28">
        <f t="shared" si="18"/>
        <v>3205288.2605678686</v>
      </c>
      <c r="AT57">
        <v>1.1795827958849259</v>
      </c>
      <c r="AU57">
        <v>-0.66632537709665485</v>
      </c>
      <c r="AV57">
        <v>-0.5830918325955281</v>
      </c>
      <c r="DF57" s="38"/>
      <c r="DG57" s="28"/>
      <c r="DH57" s="10"/>
    </row>
    <row r="58" spans="1:112" x14ac:dyDescent="0.2">
      <c r="Z58">
        <f t="shared" si="4"/>
        <v>78</v>
      </c>
      <c r="AA58" s="27">
        <f t="shared" si="5"/>
        <v>78</v>
      </c>
      <c r="AB58" s="31" t="str">
        <f t="shared" si="20"/>
        <v/>
      </c>
      <c r="AC58" s="31">
        <f t="shared" si="6"/>
        <v>0.04</v>
      </c>
      <c r="AD58" s="28">
        <f t="shared" si="7"/>
        <v>476568.49985474709</v>
      </c>
      <c r="AE58" s="10">
        <f t="shared" si="8"/>
        <v>0.03</v>
      </c>
      <c r="AF58" s="28">
        <f t="shared" si="9"/>
        <v>558106.30742956314</v>
      </c>
      <c r="AG58" s="28" t="str">
        <f t="shared" si="21"/>
        <v/>
      </c>
      <c r="AH58" s="28" t="str">
        <f t="shared" si="22"/>
        <v/>
      </c>
      <c r="AI58" s="28">
        <f t="shared" si="10"/>
        <v>57188.219982569652</v>
      </c>
      <c r="AJ58" s="28">
        <f t="shared" si="11"/>
        <v>57188.219982569652</v>
      </c>
      <c r="AK58" s="28">
        <f t="shared" si="23"/>
        <v>285941.09991284827</v>
      </c>
      <c r="AL58" s="28">
        <f t="shared" si="12"/>
        <v>228752.87993027864</v>
      </c>
      <c r="AM58" s="28">
        <f t="shared" si="13"/>
        <v>514693.9798431269</v>
      </c>
      <c r="AN58" s="28">
        <f t="shared" si="14"/>
        <v>-457505.75986055727</v>
      </c>
      <c r="AO58" s="32">
        <f t="shared" si="15"/>
        <v>7.4999999999999997E-2</v>
      </c>
      <c r="AP58" s="33">
        <f t="shared" si="16"/>
        <v>3445684.8801104585</v>
      </c>
      <c r="AQ58" s="34">
        <f t="shared" si="17"/>
        <v>-457505.75986055727</v>
      </c>
      <c r="AR58" s="28">
        <f t="shared" si="18"/>
        <v>2988179.120249901</v>
      </c>
      <c r="AT58">
        <v>-0.92930122264078818</v>
      </c>
      <c r="AU58">
        <v>0.97246129371342249</v>
      </c>
      <c r="AV58">
        <v>-7.7685626820311882E-2</v>
      </c>
      <c r="DF58" s="38"/>
      <c r="DG58" s="28"/>
      <c r="DH58" s="10"/>
    </row>
    <row r="59" spans="1:112" x14ac:dyDescent="0.2">
      <c r="Z59">
        <f t="shared" si="4"/>
        <v>79</v>
      </c>
      <c r="AA59" s="27">
        <f t="shared" si="5"/>
        <v>79</v>
      </c>
      <c r="AB59" s="31" t="str">
        <f t="shared" si="20"/>
        <v/>
      </c>
      <c r="AC59" s="31">
        <f t="shared" si="6"/>
        <v>0.04</v>
      </c>
      <c r="AD59" s="28">
        <f t="shared" si="7"/>
        <v>495631.23984893697</v>
      </c>
      <c r="AE59" s="10">
        <f t="shared" si="8"/>
        <v>0.03</v>
      </c>
      <c r="AF59" s="28">
        <f t="shared" si="9"/>
        <v>574849.49665245006</v>
      </c>
      <c r="AG59" s="28" t="str">
        <f t="shared" si="21"/>
        <v/>
      </c>
      <c r="AH59" s="28" t="str">
        <f t="shared" si="22"/>
        <v/>
      </c>
      <c r="AI59" s="28">
        <f t="shared" si="10"/>
        <v>59475.748781872433</v>
      </c>
      <c r="AJ59" s="28">
        <f t="shared" si="11"/>
        <v>59475.748781872433</v>
      </c>
      <c r="AK59" s="28">
        <f t="shared" si="23"/>
        <v>297378.74390936218</v>
      </c>
      <c r="AL59" s="28">
        <f t="shared" si="12"/>
        <v>237902.99512748976</v>
      </c>
      <c r="AM59" s="28">
        <f t="shared" si="13"/>
        <v>535281.73903685191</v>
      </c>
      <c r="AN59" s="28">
        <f t="shared" si="14"/>
        <v>-475805.99025497946</v>
      </c>
      <c r="AO59" s="32">
        <f t="shared" si="15"/>
        <v>7.4999999999999997E-2</v>
      </c>
      <c r="AP59" s="33">
        <f t="shared" si="16"/>
        <v>3212292.5542686433</v>
      </c>
      <c r="AQ59" s="34">
        <f t="shared" si="17"/>
        <v>-475805.99025497946</v>
      </c>
      <c r="AR59" s="28">
        <f t="shared" si="18"/>
        <v>2736486.5640136637</v>
      </c>
      <c r="AT59">
        <v>-0.57431861932855099</v>
      </c>
      <c r="AU59">
        <v>0.14157308214635123</v>
      </c>
      <c r="AV59">
        <v>-2.2148469724925235E-2</v>
      </c>
      <c r="DF59" s="38"/>
      <c r="DG59" s="28"/>
      <c r="DH59" s="10"/>
    </row>
    <row r="60" spans="1:112" x14ac:dyDescent="0.2">
      <c r="Z60">
        <f t="shared" si="4"/>
        <v>80</v>
      </c>
      <c r="AA60" s="27">
        <f t="shared" si="5"/>
        <v>80</v>
      </c>
      <c r="AB60" s="31" t="str">
        <f t="shared" si="20"/>
        <v/>
      </c>
      <c r="AC60" s="31">
        <f t="shared" si="6"/>
        <v>0.04</v>
      </c>
      <c r="AD60" s="28">
        <f t="shared" si="7"/>
        <v>515456.48944289447</v>
      </c>
      <c r="AE60" s="10">
        <f t="shared" si="8"/>
        <v>0.03</v>
      </c>
      <c r="AF60" s="28">
        <f t="shared" si="9"/>
        <v>592094.98155202356</v>
      </c>
      <c r="AG60" s="28" t="str">
        <f t="shared" si="21"/>
        <v/>
      </c>
      <c r="AH60" s="28" t="str">
        <f t="shared" si="22"/>
        <v/>
      </c>
      <c r="AI60" s="28">
        <f t="shared" si="10"/>
        <v>61854.778733147337</v>
      </c>
      <c r="AJ60" s="28">
        <f t="shared" si="11"/>
        <v>61854.778733147337</v>
      </c>
      <c r="AK60" s="28">
        <f t="shared" si="23"/>
        <v>309273.89366573666</v>
      </c>
      <c r="AL60" s="28">
        <f t="shared" si="12"/>
        <v>247419.11493258935</v>
      </c>
      <c r="AM60" s="28">
        <f t="shared" si="13"/>
        <v>556693.00859832601</v>
      </c>
      <c r="AN60" s="28">
        <f t="shared" si="14"/>
        <v>-494838.2298651787</v>
      </c>
      <c r="AO60" s="32">
        <f t="shared" si="15"/>
        <v>7.4999999999999997E-2</v>
      </c>
      <c r="AP60" s="33">
        <f t="shared" si="16"/>
        <v>2941723.0563146882</v>
      </c>
      <c r="AQ60" s="34">
        <f t="shared" si="17"/>
        <v>-494838.2298651787</v>
      </c>
      <c r="AR60" s="28">
        <f t="shared" si="18"/>
        <v>2446884.8264495097</v>
      </c>
      <c r="AT60">
        <v>-0.76702235674019903</v>
      </c>
      <c r="AU60">
        <v>6.1428409026120789E-2</v>
      </c>
      <c r="AV60">
        <v>-0.42321289583924226</v>
      </c>
      <c r="DF60" s="38"/>
      <c r="DG60" s="28"/>
      <c r="DH60" s="10"/>
    </row>
    <row r="61" spans="1:112" x14ac:dyDescent="0.2">
      <c r="Z61">
        <f t="shared" si="4"/>
        <v>81</v>
      </c>
      <c r="AA61" s="27">
        <f t="shared" si="5"/>
        <v>81</v>
      </c>
      <c r="AB61" s="31" t="str">
        <f t="shared" si="20"/>
        <v/>
      </c>
      <c r="AC61" s="31">
        <f t="shared" si="6"/>
        <v>0.04</v>
      </c>
      <c r="AD61" s="28">
        <f t="shared" si="7"/>
        <v>536074.74902061024</v>
      </c>
      <c r="AE61" s="10">
        <f t="shared" si="8"/>
        <v>0.03</v>
      </c>
      <c r="AF61" s="28">
        <f t="shared" si="9"/>
        <v>609857.83099858428</v>
      </c>
      <c r="AG61" s="28" t="str">
        <f t="shared" si="21"/>
        <v/>
      </c>
      <c r="AH61" s="28" t="str">
        <f t="shared" si="22"/>
        <v/>
      </c>
      <c r="AI61" s="28">
        <f t="shared" si="10"/>
        <v>64328.969882473226</v>
      </c>
      <c r="AJ61" s="28">
        <f t="shared" si="11"/>
        <v>64328.969882473226</v>
      </c>
      <c r="AK61" s="28">
        <f t="shared" si="23"/>
        <v>321644.84941236611</v>
      </c>
      <c r="AL61" s="28">
        <f t="shared" si="12"/>
        <v>257315.8795298929</v>
      </c>
      <c r="AM61" s="28">
        <f t="shared" si="13"/>
        <v>578960.72894225898</v>
      </c>
      <c r="AN61" s="28">
        <f t="shared" si="14"/>
        <v>-514631.75905978575</v>
      </c>
      <c r="AO61" s="32">
        <f t="shared" si="15"/>
        <v>7.4999999999999997E-2</v>
      </c>
      <c r="AP61" s="33">
        <f t="shared" si="16"/>
        <v>2630401.1884332229</v>
      </c>
      <c r="AQ61" s="34">
        <f t="shared" si="17"/>
        <v>-514631.75905978575</v>
      </c>
      <c r="AR61" s="28">
        <f t="shared" si="18"/>
        <v>2115769.4293734371</v>
      </c>
      <c r="AT61">
        <v>0.33766127671697177</v>
      </c>
      <c r="AU61">
        <v>-0.31844820114201866</v>
      </c>
      <c r="AV61">
        <v>-0.57847273637889884</v>
      </c>
      <c r="DF61" s="38"/>
      <c r="DG61" s="28"/>
      <c r="DH61" s="10"/>
    </row>
    <row r="62" spans="1:112" x14ac:dyDescent="0.2">
      <c r="Z62">
        <f t="shared" si="4"/>
        <v>82</v>
      </c>
      <c r="AA62" s="27">
        <f t="shared" si="5"/>
        <v>82</v>
      </c>
      <c r="AB62" s="31" t="str">
        <f t="shared" si="20"/>
        <v/>
      </c>
      <c r="AC62" s="31">
        <f t="shared" si="6"/>
        <v>0.04</v>
      </c>
      <c r="AD62" s="28">
        <f t="shared" si="7"/>
        <v>557517.73898143461</v>
      </c>
      <c r="AE62" s="10">
        <f t="shared" si="8"/>
        <v>0.03</v>
      </c>
      <c r="AF62" s="28">
        <f t="shared" si="9"/>
        <v>628153.56592854182</v>
      </c>
      <c r="AG62" s="28" t="str">
        <f t="shared" si="21"/>
        <v/>
      </c>
      <c r="AH62" s="28" t="str">
        <f t="shared" si="22"/>
        <v/>
      </c>
      <c r="AI62" s="28">
        <f t="shared" si="10"/>
        <v>66902.128677772154</v>
      </c>
      <c r="AJ62" s="28">
        <f t="shared" si="11"/>
        <v>66902.128677772154</v>
      </c>
      <c r="AK62" s="28">
        <f t="shared" si="23"/>
        <v>334510.64338886074</v>
      </c>
      <c r="AL62" s="28">
        <f t="shared" si="12"/>
        <v>267608.51471108862</v>
      </c>
      <c r="AM62" s="28">
        <f t="shared" si="13"/>
        <v>602119.15809994936</v>
      </c>
      <c r="AN62" s="28">
        <f t="shared" si="14"/>
        <v>-535217.02942217723</v>
      </c>
      <c r="AO62" s="32">
        <f t="shared" si="15"/>
        <v>7.4999999999999997E-2</v>
      </c>
      <c r="AP62" s="33">
        <f t="shared" si="16"/>
        <v>2274452.1365764448</v>
      </c>
      <c r="AQ62" s="34">
        <f t="shared" si="17"/>
        <v>-535217.02942217723</v>
      </c>
      <c r="AR62" s="28">
        <f t="shared" si="18"/>
        <v>1739235.1071542676</v>
      </c>
      <c r="AT62">
        <v>0.17830188880907372</v>
      </c>
      <c r="AU62">
        <v>1.527932909084484</v>
      </c>
      <c r="AV62">
        <v>1.0785902304633055</v>
      </c>
      <c r="DF62" s="38"/>
      <c r="DG62" s="28"/>
      <c r="DH62" s="10"/>
    </row>
    <row r="63" spans="1:112" x14ac:dyDescent="0.2">
      <c r="Z63">
        <f t="shared" si="4"/>
        <v>83</v>
      </c>
      <c r="AA63" s="27">
        <f t="shared" si="5"/>
        <v>83</v>
      </c>
      <c r="AB63" s="31" t="str">
        <f t="shared" si="20"/>
        <v/>
      </c>
      <c r="AC63" s="31">
        <f t="shared" si="6"/>
        <v>0.04</v>
      </c>
      <c r="AD63" s="28">
        <f t="shared" si="7"/>
        <v>579818.44854069198</v>
      </c>
      <c r="AE63" s="10">
        <f t="shared" si="8"/>
        <v>0.03</v>
      </c>
      <c r="AF63" s="28">
        <f t="shared" si="9"/>
        <v>646998.17290639807</v>
      </c>
      <c r="AG63" s="28" t="str">
        <f t="shared" si="21"/>
        <v/>
      </c>
      <c r="AH63" s="28" t="str">
        <f t="shared" si="22"/>
        <v/>
      </c>
      <c r="AI63" s="28">
        <f t="shared" si="10"/>
        <v>69578.213824883031</v>
      </c>
      <c r="AJ63" s="28">
        <f t="shared" si="11"/>
        <v>69578.213824883031</v>
      </c>
      <c r="AK63" s="28">
        <f t="shared" si="23"/>
        <v>347891.06912441517</v>
      </c>
      <c r="AL63" s="28">
        <f t="shared" si="12"/>
        <v>278312.85529953212</v>
      </c>
      <c r="AM63" s="28">
        <f t="shared" si="13"/>
        <v>626203.92442394723</v>
      </c>
      <c r="AN63" s="28">
        <f t="shared" si="14"/>
        <v>-556625.71059906424</v>
      </c>
      <c r="AO63" s="32">
        <f t="shared" si="15"/>
        <v>7.4999999999999997E-2</v>
      </c>
      <c r="AP63" s="33">
        <f t="shared" si="16"/>
        <v>1869677.7401908375</v>
      </c>
      <c r="AQ63" s="34">
        <f t="shared" si="17"/>
        <v>-556625.71059906424</v>
      </c>
      <c r="AR63" s="28">
        <f t="shared" si="18"/>
        <v>1313052.0295917732</v>
      </c>
      <c r="AT63">
        <v>-0.35308971746417228</v>
      </c>
      <c r="AU63">
        <v>0.10388021109974943</v>
      </c>
      <c r="AV63">
        <v>1.5982459444785491</v>
      </c>
      <c r="DF63" s="38"/>
      <c r="DG63" s="28"/>
      <c r="DH63" s="10"/>
    </row>
    <row r="64" spans="1:112" x14ac:dyDescent="0.2">
      <c r="Z64">
        <f t="shared" si="4"/>
        <v>84</v>
      </c>
      <c r="AA64" s="27">
        <f t="shared" si="5"/>
        <v>84</v>
      </c>
      <c r="AB64" s="31" t="str">
        <f t="shared" si="20"/>
        <v/>
      </c>
      <c r="AC64" s="31">
        <f t="shared" si="6"/>
        <v>0.04</v>
      </c>
      <c r="AD64" s="28">
        <f t="shared" si="7"/>
        <v>603011.18648231972</v>
      </c>
      <c r="AE64" s="10">
        <f t="shared" si="8"/>
        <v>0.03</v>
      </c>
      <c r="AF64" s="28">
        <f t="shared" si="9"/>
        <v>666408.11809359002</v>
      </c>
      <c r="AG64" s="28" t="str">
        <f t="shared" si="21"/>
        <v/>
      </c>
      <c r="AH64" s="28" t="str">
        <f t="shared" si="22"/>
        <v/>
      </c>
      <c r="AI64" s="28">
        <f t="shared" si="10"/>
        <v>72361.342377878362</v>
      </c>
      <c r="AJ64" s="28">
        <f t="shared" si="11"/>
        <v>72361.342377878362</v>
      </c>
      <c r="AK64" s="28">
        <f t="shared" si="23"/>
        <v>361806.71188939182</v>
      </c>
      <c r="AL64" s="28">
        <f t="shared" si="12"/>
        <v>289445.36951151345</v>
      </c>
      <c r="AM64" s="28">
        <f t="shared" si="13"/>
        <v>651252.08140090527</v>
      </c>
      <c r="AN64" s="28">
        <f t="shared" si="14"/>
        <v>-578890.73902302689</v>
      </c>
      <c r="AO64" s="32">
        <f t="shared" si="15"/>
        <v>7.4999999999999997E-2</v>
      </c>
      <c r="AP64" s="33">
        <f t="shared" si="16"/>
        <v>1411530.931811156</v>
      </c>
      <c r="AQ64" s="34">
        <f t="shared" si="17"/>
        <v>-578890.73902302689</v>
      </c>
      <c r="AR64" s="28">
        <f t="shared" si="18"/>
        <v>832640.19278812909</v>
      </c>
      <c r="AT64">
        <v>-0.24134237719408702</v>
      </c>
      <c r="AU64">
        <v>-1.9237631931900978</v>
      </c>
      <c r="AV64">
        <v>0.29343709684326313</v>
      </c>
      <c r="DF64" s="38"/>
      <c r="DG64" s="28"/>
      <c r="DH64" s="10"/>
    </row>
    <row r="65" spans="26:112" x14ac:dyDescent="0.2">
      <c r="Z65">
        <f t="shared" si="4"/>
        <v>85</v>
      </c>
      <c r="AA65" s="27">
        <f t="shared" si="5"/>
        <v>85</v>
      </c>
      <c r="AB65" s="31" t="str">
        <f t="shared" si="20"/>
        <v/>
      </c>
      <c r="AC65" s="31">
        <f t="shared" si="6"/>
        <v>0.04</v>
      </c>
      <c r="AD65" s="28">
        <f t="shared" si="7"/>
        <v>627131.63394161256</v>
      </c>
      <c r="AE65" s="10">
        <f t="shared" si="8"/>
        <v>0.03</v>
      </c>
      <c r="AF65" s="28">
        <f t="shared" si="9"/>
        <v>686400.36163639778</v>
      </c>
      <c r="AG65" s="28" t="str">
        <f t="shared" si="21"/>
        <v/>
      </c>
      <c r="AH65" s="28" t="str">
        <f t="shared" si="22"/>
        <v/>
      </c>
      <c r="AI65" s="28">
        <f t="shared" si="10"/>
        <v>75255.7960729935</v>
      </c>
      <c r="AJ65" s="28">
        <f t="shared" si="11"/>
        <v>75255.7960729935</v>
      </c>
      <c r="AK65" s="28">
        <f t="shared" si="23"/>
        <v>376278.98036496755</v>
      </c>
      <c r="AL65" s="28">
        <f t="shared" si="12"/>
        <v>301023.18429197406</v>
      </c>
      <c r="AM65" s="28">
        <f t="shared" si="13"/>
        <v>677302.16465694155</v>
      </c>
      <c r="AN65" s="28">
        <f t="shared" si="14"/>
        <v>-602046.368583948</v>
      </c>
      <c r="AO65" s="32">
        <f t="shared" si="15"/>
        <v>7.4999999999999997E-2</v>
      </c>
      <c r="AP65" s="33">
        <f t="shared" si="16"/>
        <v>895088.20724723872</v>
      </c>
      <c r="AQ65" s="34">
        <f t="shared" si="17"/>
        <v>-602046.368583948</v>
      </c>
      <c r="AR65" s="28">
        <f t="shared" si="18"/>
        <v>293041.83866329072</v>
      </c>
      <c r="AT65">
        <v>0.25807366910157725</v>
      </c>
      <c r="AU65">
        <v>8.4210114437155426E-2</v>
      </c>
      <c r="AV65">
        <v>-1.1107613318017684</v>
      </c>
      <c r="DF65" s="38"/>
      <c r="DG65" s="28"/>
      <c r="DH65" s="10"/>
    </row>
    <row r="66" spans="26:112" x14ac:dyDescent="0.2">
      <c r="Z66">
        <f t="shared" si="4"/>
        <v>86</v>
      </c>
      <c r="AA66" s="27" t="str">
        <f t="shared" si="5"/>
        <v/>
      </c>
      <c r="AB66" s="31" t="str">
        <f t="shared" si="20"/>
        <v/>
      </c>
      <c r="AC66" s="31" t="str">
        <f t="shared" si="6"/>
        <v/>
      </c>
      <c r="AD66" s="28" t="str">
        <f t="shared" si="7"/>
        <v/>
      </c>
      <c r="AE66" s="10" t="str">
        <f t="shared" si="8"/>
        <v/>
      </c>
      <c r="AF66" s="28" t="str">
        <f t="shared" si="9"/>
        <v/>
      </c>
      <c r="AG66" s="28" t="str">
        <f t="shared" si="21"/>
        <v/>
      </c>
      <c r="AH66" s="28" t="str">
        <f t="shared" si="22"/>
        <v/>
      </c>
      <c r="AI66" s="28" t="str">
        <f t="shared" si="10"/>
        <v/>
      </c>
      <c r="AJ66" s="28" t="str">
        <f t="shared" si="11"/>
        <v/>
      </c>
      <c r="AK66" s="28" t="str">
        <f t="shared" si="23"/>
        <v/>
      </c>
      <c r="AL66" s="28" t="str">
        <f t="shared" si="12"/>
        <v/>
      </c>
      <c r="AM66" s="28" t="str">
        <f t="shared" si="13"/>
        <v/>
      </c>
      <c r="AN66" s="28" t="str">
        <f t="shared" si="14"/>
        <v/>
      </c>
      <c r="AO66" s="32" t="str">
        <f t="shared" si="15"/>
        <v/>
      </c>
      <c r="AP66" s="33" t="str">
        <f t="shared" si="16"/>
        <v/>
      </c>
      <c r="AQ66" s="34" t="str">
        <f t="shared" si="17"/>
        <v/>
      </c>
      <c r="AR66" s="28" t="str">
        <f t="shared" si="18"/>
        <v/>
      </c>
      <c r="DF66" s="38"/>
      <c r="DG66" s="28"/>
      <c r="DH66" s="10"/>
    </row>
    <row r="67" spans="26:112" x14ac:dyDescent="0.2">
      <c r="Z67">
        <f t="shared" si="4"/>
        <v>87</v>
      </c>
      <c r="AA67" s="27" t="str">
        <f t="shared" si="5"/>
        <v/>
      </c>
      <c r="AB67" s="31" t="str">
        <f t="shared" si="20"/>
        <v/>
      </c>
      <c r="AC67" s="31" t="str">
        <f t="shared" si="6"/>
        <v/>
      </c>
      <c r="AD67" s="28" t="str">
        <f t="shared" si="7"/>
        <v/>
      </c>
      <c r="AE67" s="10" t="str">
        <f t="shared" si="8"/>
        <v/>
      </c>
      <c r="AF67" s="28" t="str">
        <f t="shared" si="9"/>
        <v/>
      </c>
      <c r="AG67" s="28" t="str">
        <f t="shared" si="21"/>
        <v/>
      </c>
      <c r="AH67" s="28" t="str">
        <f t="shared" si="22"/>
        <v/>
      </c>
      <c r="AI67" s="28" t="str">
        <f t="shared" si="10"/>
        <v/>
      </c>
      <c r="AJ67" s="28" t="str">
        <f t="shared" si="11"/>
        <v/>
      </c>
      <c r="AK67" s="28" t="str">
        <f t="shared" si="23"/>
        <v/>
      </c>
      <c r="AL67" s="28" t="str">
        <f t="shared" si="12"/>
        <v/>
      </c>
      <c r="AM67" s="28" t="str">
        <f t="shared" si="13"/>
        <v/>
      </c>
      <c r="AN67" s="28" t="str">
        <f t="shared" si="14"/>
        <v/>
      </c>
      <c r="AO67" s="32" t="str">
        <f t="shared" si="15"/>
        <v/>
      </c>
      <c r="AP67" s="33" t="str">
        <f t="shared" si="16"/>
        <v/>
      </c>
      <c r="AQ67" s="34" t="str">
        <f t="shared" si="17"/>
        <v/>
      </c>
      <c r="AR67" s="28" t="str">
        <f t="shared" si="18"/>
        <v/>
      </c>
      <c r="DF67" s="38"/>
      <c r="DG67" s="28"/>
      <c r="DH67" s="10"/>
    </row>
    <row r="68" spans="26:112" x14ac:dyDescent="0.2">
      <c r="Z68">
        <f t="shared" si="4"/>
        <v>88</v>
      </c>
      <c r="AA68" s="27" t="str">
        <f t="shared" si="5"/>
        <v/>
      </c>
      <c r="AB68" s="31" t="str">
        <f t="shared" si="20"/>
        <v/>
      </c>
      <c r="AC68" s="31" t="str">
        <f t="shared" si="6"/>
        <v/>
      </c>
      <c r="AD68" s="28" t="str">
        <f t="shared" si="7"/>
        <v/>
      </c>
      <c r="AE68" s="10" t="str">
        <f t="shared" si="8"/>
        <v/>
      </c>
      <c r="AF68" s="28" t="str">
        <f t="shared" si="9"/>
        <v/>
      </c>
      <c r="AG68" s="28" t="str">
        <f t="shared" si="21"/>
        <v/>
      </c>
      <c r="AH68" s="28" t="str">
        <f t="shared" si="22"/>
        <v/>
      </c>
      <c r="AI68" s="28" t="str">
        <f t="shared" si="10"/>
        <v/>
      </c>
      <c r="AJ68" s="28" t="str">
        <f t="shared" si="11"/>
        <v/>
      </c>
      <c r="AK68" s="28" t="str">
        <f t="shared" si="23"/>
        <v/>
      </c>
      <c r="AL68" s="28" t="str">
        <f t="shared" si="12"/>
        <v/>
      </c>
      <c r="AM68" s="28" t="str">
        <f t="shared" si="13"/>
        <v/>
      </c>
      <c r="AN68" s="28" t="str">
        <f t="shared" si="14"/>
        <v/>
      </c>
      <c r="AO68" s="32" t="str">
        <f t="shared" si="15"/>
        <v/>
      </c>
      <c r="AP68" s="33" t="str">
        <f t="shared" si="16"/>
        <v/>
      </c>
      <c r="AQ68" s="34" t="str">
        <f t="shared" si="17"/>
        <v/>
      </c>
      <c r="AR68" s="28" t="str">
        <f t="shared" si="18"/>
        <v/>
      </c>
      <c r="DF68" s="38"/>
      <c r="DG68" s="28"/>
      <c r="DH68" s="10"/>
    </row>
    <row r="69" spans="26:112" x14ac:dyDescent="0.2">
      <c r="Z69">
        <f t="shared" si="4"/>
        <v>89</v>
      </c>
      <c r="AA69" s="27" t="str">
        <f t="shared" si="5"/>
        <v/>
      </c>
      <c r="AB69" s="31" t="str">
        <f t="shared" si="20"/>
        <v/>
      </c>
      <c r="AC69" s="31" t="str">
        <f t="shared" si="6"/>
        <v/>
      </c>
      <c r="AD69" s="28" t="str">
        <f t="shared" si="7"/>
        <v/>
      </c>
      <c r="AE69" s="10" t="str">
        <f t="shared" si="8"/>
        <v/>
      </c>
      <c r="AF69" s="28" t="str">
        <f t="shared" si="9"/>
        <v/>
      </c>
      <c r="AG69" s="28" t="str">
        <f t="shared" si="21"/>
        <v/>
      </c>
      <c r="AH69" s="28" t="str">
        <f t="shared" si="22"/>
        <v/>
      </c>
      <c r="AI69" s="28" t="str">
        <f t="shared" si="10"/>
        <v/>
      </c>
      <c r="AJ69" s="28" t="str">
        <f t="shared" si="11"/>
        <v/>
      </c>
      <c r="AK69" s="28" t="str">
        <f t="shared" si="23"/>
        <v/>
      </c>
      <c r="AL69" s="28" t="str">
        <f t="shared" si="12"/>
        <v/>
      </c>
      <c r="AM69" s="28" t="str">
        <f t="shared" si="13"/>
        <v/>
      </c>
      <c r="AN69" s="28" t="str">
        <f t="shared" si="14"/>
        <v/>
      </c>
      <c r="AO69" s="32" t="str">
        <f t="shared" si="15"/>
        <v/>
      </c>
      <c r="AP69" s="33" t="str">
        <f t="shared" si="16"/>
        <v/>
      </c>
      <c r="AQ69" s="34" t="str">
        <f t="shared" si="17"/>
        <v/>
      </c>
      <c r="AR69" s="28" t="str">
        <f t="shared" si="18"/>
        <v/>
      </c>
      <c r="DF69" s="38"/>
      <c r="DG69" s="28"/>
      <c r="DH69" s="10"/>
    </row>
    <row r="70" spans="26:112" x14ac:dyDescent="0.2">
      <c r="Z70">
        <f t="shared" si="4"/>
        <v>90</v>
      </c>
      <c r="AA70" s="27" t="str">
        <f t="shared" si="5"/>
        <v/>
      </c>
      <c r="AB70" s="31" t="str">
        <f t="shared" si="20"/>
        <v/>
      </c>
      <c r="AC70" s="31" t="str">
        <f t="shared" si="6"/>
        <v/>
      </c>
      <c r="AD70" s="28" t="str">
        <f t="shared" si="7"/>
        <v/>
      </c>
      <c r="AE70" s="10" t="str">
        <f t="shared" si="8"/>
        <v/>
      </c>
      <c r="AF70" s="28" t="str">
        <f t="shared" si="9"/>
        <v/>
      </c>
      <c r="AG70" s="28" t="str">
        <f t="shared" si="21"/>
        <v/>
      </c>
      <c r="AH70" s="28" t="str">
        <f t="shared" si="22"/>
        <v/>
      </c>
      <c r="AI70" s="28" t="str">
        <f t="shared" si="10"/>
        <v/>
      </c>
      <c r="AJ70" s="28" t="str">
        <f t="shared" si="11"/>
        <v/>
      </c>
      <c r="AK70" s="28" t="str">
        <f t="shared" si="23"/>
        <v/>
      </c>
      <c r="AL70" s="28" t="str">
        <f t="shared" si="12"/>
        <v/>
      </c>
      <c r="AM70" s="28" t="str">
        <f t="shared" si="13"/>
        <v/>
      </c>
      <c r="AN70" s="28" t="str">
        <f t="shared" si="14"/>
        <v/>
      </c>
      <c r="AO70" s="32" t="str">
        <f t="shared" si="15"/>
        <v/>
      </c>
      <c r="AP70" s="33" t="str">
        <f t="shared" si="16"/>
        <v/>
      </c>
      <c r="AQ70" s="34" t="str">
        <f t="shared" si="17"/>
        <v/>
      </c>
      <c r="AR70" s="28" t="str">
        <f t="shared" si="18"/>
        <v/>
      </c>
      <c r="DF70" s="38"/>
      <c r="DG70" s="28"/>
      <c r="DH70" s="10"/>
    </row>
    <row r="71" spans="26:112" x14ac:dyDescent="0.2">
      <c r="Z71">
        <f t="shared" si="4"/>
        <v>91</v>
      </c>
      <c r="AA71" s="27" t="str">
        <f t="shared" si="5"/>
        <v/>
      </c>
      <c r="AB71" s="31" t="str">
        <f t="shared" ref="AB71:AB102" si="24">IF(AA71="","",IF(AA71&lt;=RetirementAge,$B$11,""))</f>
        <v/>
      </c>
      <c r="AC71" s="31" t="str">
        <f t="shared" si="6"/>
        <v/>
      </c>
      <c r="AD71" s="28" t="str">
        <f t="shared" si="7"/>
        <v/>
      </c>
      <c r="AE71" s="10" t="str">
        <f t="shared" si="8"/>
        <v/>
      </c>
      <c r="AF71" s="28" t="str">
        <f t="shared" si="9"/>
        <v/>
      </c>
      <c r="AG71" s="28" t="str">
        <f t="shared" ref="AG71:AG106" si="25">IF(AA71="","",IF(AND(AA71&gt;CurrentAge,AA71&lt;=RetirementAge),AD71,""))</f>
        <v/>
      </c>
      <c r="AH71" s="28" t="str">
        <f t="shared" ref="AH71:AH106" si="26">IF(AA71="","",IF(AND(AA71&gt;RetirementAge,AA71&lt;=RetirementAge+$B$25),$B$26*AD71,""))</f>
        <v/>
      </c>
      <c r="AI71" s="28" t="str">
        <f t="shared" si="10"/>
        <v/>
      </c>
      <c r="AJ71" s="28" t="str">
        <f t="shared" si="11"/>
        <v/>
      </c>
      <c r="AK71" s="28" t="str">
        <f t="shared" ref="AK71:AK106" si="27">IF(AA71="","",IF(AA71&lt;=RetirementAge,AD71*(1-AB71),$B$17*AD71))</f>
        <v/>
      </c>
      <c r="AL71" s="28" t="str">
        <f t="shared" si="12"/>
        <v/>
      </c>
      <c r="AM71" s="28" t="str">
        <f t="shared" si="13"/>
        <v/>
      </c>
      <c r="AN71" s="28" t="str">
        <f t="shared" si="14"/>
        <v/>
      </c>
      <c r="AO71" s="32" t="str">
        <f t="shared" si="15"/>
        <v/>
      </c>
      <c r="AP71" s="33" t="str">
        <f t="shared" si="16"/>
        <v/>
      </c>
      <c r="AQ71" s="34" t="str">
        <f t="shared" si="17"/>
        <v/>
      </c>
      <c r="AR71" s="28" t="str">
        <f t="shared" si="18"/>
        <v/>
      </c>
      <c r="DF71" s="38"/>
      <c r="DG71" s="28"/>
      <c r="DH71" s="10"/>
    </row>
    <row r="72" spans="26:112" x14ac:dyDescent="0.2">
      <c r="Z72">
        <f t="shared" ref="Z72:Z106" si="28">Z71+1</f>
        <v>92</v>
      </c>
      <c r="AA72" s="27" t="str">
        <f t="shared" ref="AA72:AA106" si="29">IF(AA71="","",IF(AA71+1&gt;$DB$10+$AA$6,"",AA71+1))</f>
        <v/>
      </c>
      <c r="AB72" s="31" t="str">
        <f t="shared" si="24"/>
        <v/>
      </c>
      <c r="AC72" s="31" t="str">
        <f t="shared" ref="AC72:AC106" si="30">IF(AA72="","",IF($J$23=$DB$4,$B$40-0.5*$C$40^2,IF($J$23=$DB$5,$B$40+AT72*$C$40,$B$40)))</f>
        <v/>
      </c>
      <c r="AD72" s="28" t="str">
        <f t="shared" ref="AD72:AD106" si="31">IF(AA72="","",AD71*(1+AC72))</f>
        <v/>
      </c>
      <c r="AE72" s="10" t="str">
        <f t="shared" ref="AE72:AE106" si="32">IF(AA72="","",IF($J$23=$DB$4,$B$41-0.5*$C$41^2,IF($J$23=$DB$5,$B$41+AU72*$C$41,$B$41)))</f>
        <v/>
      </c>
      <c r="AF72" s="28" t="str">
        <f t="shared" ref="AF72:AF106" si="33">IF(AA72="","",AF71*(1+AE72))</f>
        <v/>
      </c>
      <c r="AG72" s="28" t="str">
        <f t="shared" si="25"/>
        <v/>
      </c>
      <c r="AH72" s="28" t="str">
        <f t="shared" si="26"/>
        <v/>
      </c>
      <c r="AI72" s="28" t="str">
        <f t="shared" ref="AI72:AI106" si="34">IF(AA72="","",IF(AA72&gt;=$DB$7,AD72*$B$23,""))</f>
        <v/>
      </c>
      <c r="AJ72" s="28" t="str">
        <f t="shared" ref="AJ72:AJ106" si="35">IF(AA72="","",SUM(AG72:AI72))</f>
        <v/>
      </c>
      <c r="AK72" s="28" t="str">
        <f t="shared" si="27"/>
        <v/>
      </c>
      <c r="AL72" s="28" t="str">
        <f t="shared" ref="AL72:AL106" si="36">IF(AA72="","",IF(AA72&gt;$B$16-8,AK72*$B$29,""))</f>
        <v/>
      </c>
      <c r="AM72" s="28" t="str">
        <f t="shared" ref="AM72:AM106" si="37">IF(AA72="","",SUM(AK72:AL72))</f>
        <v/>
      </c>
      <c r="AN72" s="28" t="str">
        <f t="shared" ref="AN72:AN106" si="38">IF(AA72="","",AJ72-AM72)</f>
        <v/>
      </c>
      <c r="AO72" s="32" t="str">
        <f t="shared" ref="AO72:AO106" si="39">IF(AA72="","",IF($J$23=$DB$4,$DC$12-0.5*$DC$13^2,IF($J$23=$DB$5,$DC$12+AV72*$DC$13,$DC$12)))</f>
        <v/>
      </c>
      <c r="AP72" s="33" t="str">
        <f t="shared" ref="AP72:AP106" si="40">IF(AA72="","",AR71*(1+AO72))</f>
        <v/>
      </c>
      <c r="AQ72" s="34" t="str">
        <f t="shared" ref="AQ72:AQ106" si="41">IF(AA72="","",AN72)</f>
        <v/>
      </c>
      <c r="AR72" s="28" t="str">
        <f t="shared" ref="AR72:AR106" si="42">IF(AA72="","",SUM(AP72:AQ72))</f>
        <v/>
      </c>
      <c r="DF72" s="38"/>
      <c r="DG72" s="28"/>
      <c r="DH72" s="10"/>
    </row>
    <row r="73" spans="26:112" x14ac:dyDescent="0.2">
      <c r="Z73">
        <f t="shared" si="28"/>
        <v>93</v>
      </c>
      <c r="AA73" s="27" t="str">
        <f t="shared" si="29"/>
        <v/>
      </c>
      <c r="AB73" s="31" t="str">
        <f t="shared" si="24"/>
        <v/>
      </c>
      <c r="AC73" s="31" t="str">
        <f t="shared" si="30"/>
        <v/>
      </c>
      <c r="AD73" s="28" t="str">
        <f t="shared" si="31"/>
        <v/>
      </c>
      <c r="AE73" s="10" t="str">
        <f t="shared" si="32"/>
        <v/>
      </c>
      <c r="AF73" s="28" t="str">
        <f t="shared" si="33"/>
        <v/>
      </c>
      <c r="AG73" s="28" t="str">
        <f t="shared" si="25"/>
        <v/>
      </c>
      <c r="AH73" s="28" t="str">
        <f t="shared" si="26"/>
        <v/>
      </c>
      <c r="AI73" s="28" t="str">
        <f t="shared" si="34"/>
        <v/>
      </c>
      <c r="AJ73" s="28" t="str">
        <f t="shared" si="35"/>
        <v/>
      </c>
      <c r="AK73" s="28" t="str">
        <f t="shared" si="27"/>
        <v/>
      </c>
      <c r="AL73" s="28" t="str">
        <f t="shared" si="36"/>
        <v/>
      </c>
      <c r="AM73" s="28" t="str">
        <f t="shared" si="37"/>
        <v/>
      </c>
      <c r="AN73" s="28" t="str">
        <f t="shared" si="38"/>
        <v/>
      </c>
      <c r="AO73" s="32" t="str">
        <f t="shared" si="39"/>
        <v/>
      </c>
      <c r="AP73" s="33" t="str">
        <f t="shared" si="40"/>
        <v/>
      </c>
      <c r="AQ73" s="34" t="str">
        <f t="shared" si="41"/>
        <v/>
      </c>
      <c r="AR73" s="28" t="str">
        <f t="shared" si="42"/>
        <v/>
      </c>
      <c r="DF73" s="38"/>
      <c r="DG73" s="28"/>
      <c r="DH73" s="10"/>
    </row>
    <row r="74" spans="26:112" x14ac:dyDescent="0.2">
      <c r="Z74">
        <f t="shared" si="28"/>
        <v>94</v>
      </c>
      <c r="AA74" s="27" t="str">
        <f t="shared" si="29"/>
        <v/>
      </c>
      <c r="AB74" s="31" t="str">
        <f t="shared" si="24"/>
        <v/>
      </c>
      <c r="AC74" s="31" t="str">
        <f t="shared" si="30"/>
        <v/>
      </c>
      <c r="AD74" s="28" t="str">
        <f t="shared" si="31"/>
        <v/>
      </c>
      <c r="AE74" s="10" t="str">
        <f t="shared" si="32"/>
        <v/>
      </c>
      <c r="AF74" s="28" t="str">
        <f t="shared" si="33"/>
        <v/>
      </c>
      <c r="AG74" s="28" t="str">
        <f t="shared" si="25"/>
        <v/>
      </c>
      <c r="AH74" s="28" t="str">
        <f t="shared" si="26"/>
        <v/>
      </c>
      <c r="AI74" s="28" t="str">
        <f t="shared" si="34"/>
        <v/>
      </c>
      <c r="AJ74" s="28" t="str">
        <f t="shared" si="35"/>
        <v/>
      </c>
      <c r="AK74" s="28" t="str">
        <f t="shared" si="27"/>
        <v/>
      </c>
      <c r="AL74" s="28" t="str">
        <f t="shared" si="36"/>
        <v/>
      </c>
      <c r="AM74" s="28" t="str">
        <f t="shared" si="37"/>
        <v/>
      </c>
      <c r="AN74" s="28" t="str">
        <f t="shared" si="38"/>
        <v/>
      </c>
      <c r="AO74" s="32" t="str">
        <f t="shared" si="39"/>
        <v/>
      </c>
      <c r="AP74" s="33" t="str">
        <f t="shared" si="40"/>
        <v/>
      </c>
      <c r="AQ74" s="34" t="str">
        <f t="shared" si="41"/>
        <v/>
      </c>
      <c r="AR74" s="28" t="str">
        <f t="shared" si="42"/>
        <v/>
      </c>
      <c r="DF74" s="38"/>
      <c r="DG74" s="28"/>
      <c r="DH74" s="10"/>
    </row>
    <row r="75" spans="26:112" x14ac:dyDescent="0.2">
      <c r="Z75">
        <f t="shared" si="28"/>
        <v>95</v>
      </c>
      <c r="AA75" s="27" t="str">
        <f t="shared" si="29"/>
        <v/>
      </c>
      <c r="AB75" s="31" t="str">
        <f t="shared" si="24"/>
        <v/>
      </c>
      <c r="AC75" s="31" t="str">
        <f t="shared" si="30"/>
        <v/>
      </c>
      <c r="AD75" s="28" t="str">
        <f t="shared" si="31"/>
        <v/>
      </c>
      <c r="AE75" s="10" t="str">
        <f t="shared" si="32"/>
        <v/>
      </c>
      <c r="AF75" s="28" t="str">
        <f t="shared" si="33"/>
        <v/>
      </c>
      <c r="AG75" s="28" t="str">
        <f t="shared" si="25"/>
        <v/>
      </c>
      <c r="AH75" s="28" t="str">
        <f t="shared" si="26"/>
        <v/>
      </c>
      <c r="AI75" s="28" t="str">
        <f t="shared" si="34"/>
        <v/>
      </c>
      <c r="AJ75" s="28" t="str">
        <f t="shared" si="35"/>
        <v/>
      </c>
      <c r="AK75" s="28" t="str">
        <f t="shared" si="27"/>
        <v/>
      </c>
      <c r="AL75" s="28" t="str">
        <f t="shared" si="36"/>
        <v/>
      </c>
      <c r="AM75" s="28" t="str">
        <f t="shared" si="37"/>
        <v/>
      </c>
      <c r="AN75" s="28" t="str">
        <f t="shared" si="38"/>
        <v/>
      </c>
      <c r="AO75" s="32" t="str">
        <f t="shared" si="39"/>
        <v/>
      </c>
      <c r="AP75" s="33" t="str">
        <f t="shared" si="40"/>
        <v/>
      </c>
      <c r="AQ75" s="34" t="str">
        <f t="shared" si="41"/>
        <v/>
      </c>
      <c r="AR75" s="28" t="str">
        <f t="shared" si="42"/>
        <v/>
      </c>
      <c r="DF75" s="38"/>
      <c r="DG75" s="28"/>
      <c r="DH75" s="10"/>
    </row>
    <row r="76" spans="26:112" x14ac:dyDescent="0.2">
      <c r="Z76">
        <f t="shared" si="28"/>
        <v>96</v>
      </c>
      <c r="AA76" s="27" t="str">
        <f t="shared" si="29"/>
        <v/>
      </c>
      <c r="AB76" s="31" t="str">
        <f t="shared" si="24"/>
        <v/>
      </c>
      <c r="AC76" s="31" t="str">
        <f t="shared" si="30"/>
        <v/>
      </c>
      <c r="AD76" s="28" t="str">
        <f t="shared" si="31"/>
        <v/>
      </c>
      <c r="AE76" s="10" t="str">
        <f t="shared" si="32"/>
        <v/>
      </c>
      <c r="AF76" s="28" t="str">
        <f t="shared" si="33"/>
        <v/>
      </c>
      <c r="AG76" s="28" t="str">
        <f t="shared" si="25"/>
        <v/>
      </c>
      <c r="AH76" s="28" t="str">
        <f t="shared" si="26"/>
        <v/>
      </c>
      <c r="AI76" s="28" t="str">
        <f t="shared" si="34"/>
        <v/>
      </c>
      <c r="AJ76" s="28" t="str">
        <f t="shared" si="35"/>
        <v/>
      </c>
      <c r="AK76" s="28" t="str">
        <f t="shared" si="27"/>
        <v/>
      </c>
      <c r="AL76" s="28" t="str">
        <f t="shared" si="36"/>
        <v/>
      </c>
      <c r="AM76" s="28" t="str">
        <f t="shared" si="37"/>
        <v/>
      </c>
      <c r="AN76" s="28" t="str">
        <f t="shared" si="38"/>
        <v/>
      </c>
      <c r="AO76" s="32" t="str">
        <f t="shared" si="39"/>
        <v/>
      </c>
      <c r="AP76" s="33" t="str">
        <f t="shared" si="40"/>
        <v/>
      </c>
      <c r="AQ76" s="34" t="str">
        <f t="shared" si="41"/>
        <v/>
      </c>
      <c r="AR76" s="28" t="str">
        <f t="shared" si="42"/>
        <v/>
      </c>
      <c r="DF76" s="38"/>
      <c r="DG76" s="28"/>
      <c r="DH76" s="10"/>
    </row>
    <row r="77" spans="26:112" x14ac:dyDescent="0.2">
      <c r="Z77">
        <f t="shared" si="28"/>
        <v>97</v>
      </c>
      <c r="AA77" s="27" t="str">
        <f t="shared" si="29"/>
        <v/>
      </c>
      <c r="AB77" s="31" t="str">
        <f t="shared" si="24"/>
        <v/>
      </c>
      <c r="AC77" s="31" t="str">
        <f t="shared" si="30"/>
        <v/>
      </c>
      <c r="AD77" s="28" t="str">
        <f t="shared" si="31"/>
        <v/>
      </c>
      <c r="AE77" s="10" t="str">
        <f t="shared" si="32"/>
        <v/>
      </c>
      <c r="AF77" s="28" t="str">
        <f t="shared" si="33"/>
        <v/>
      </c>
      <c r="AG77" s="28" t="str">
        <f t="shared" si="25"/>
        <v/>
      </c>
      <c r="AH77" s="28" t="str">
        <f t="shared" si="26"/>
        <v/>
      </c>
      <c r="AI77" s="28" t="str">
        <f t="shared" si="34"/>
        <v/>
      </c>
      <c r="AJ77" s="28" t="str">
        <f t="shared" si="35"/>
        <v/>
      </c>
      <c r="AK77" s="28" t="str">
        <f t="shared" si="27"/>
        <v/>
      </c>
      <c r="AL77" s="28" t="str">
        <f t="shared" si="36"/>
        <v/>
      </c>
      <c r="AM77" s="28" t="str">
        <f t="shared" si="37"/>
        <v/>
      </c>
      <c r="AN77" s="28" t="str">
        <f t="shared" si="38"/>
        <v/>
      </c>
      <c r="AO77" s="32" t="str">
        <f t="shared" si="39"/>
        <v/>
      </c>
      <c r="AP77" s="33" t="str">
        <f t="shared" si="40"/>
        <v/>
      </c>
      <c r="AQ77" s="34" t="str">
        <f t="shared" si="41"/>
        <v/>
      </c>
      <c r="AR77" s="28" t="str">
        <f t="shared" si="42"/>
        <v/>
      </c>
      <c r="DF77" s="38"/>
      <c r="DG77" s="28"/>
      <c r="DH77" s="10"/>
    </row>
    <row r="78" spans="26:112" x14ac:dyDescent="0.2">
      <c r="Z78">
        <f t="shared" si="28"/>
        <v>98</v>
      </c>
      <c r="AA78" s="27" t="str">
        <f t="shared" si="29"/>
        <v/>
      </c>
      <c r="AB78" s="31" t="str">
        <f t="shared" si="24"/>
        <v/>
      </c>
      <c r="AC78" s="31" t="str">
        <f t="shared" si="30"/>
        <v/>
      </c>
      <c r="AD78" s="28" t="str">
        <f t="shared" si="31"/>
        <v/>
      </c>
      <c r="AE78" s="10" t="str">
        <f t="shared" si="32"/>
        <v/>
      </c>
      <c r="AF78" s="28" t="str">
        <f t="shared" si="33"/>
        <v/>
      </c>
      <c r="AG78" s="28" t="str">
        <f t="shared" si="25"/>
        <v/>
      </c>
      <c r="AH78" s="28" t="str">
        <f t="shared" si="26"/>
        <v/>
      </c>
      <c r="AI78" s="28" t="str">
        <f t="shared" si="34"/>
        <v/>
      </c>
      <c r="AJ78" s="28" t="str">
        <f t="shared" si="35"/>
        <v/>
      </c>
      <c r="AK78" s="28" t="str">
        <f t="shared" si="27"/>
        <v/>
      </c>
      <c r="AL78" s="28" t="str">
        <f t="shared" si="36"/>
        <v/>
      </c>
      <c r="AM78" s="28" t="str">
        <f t="shared" si="37"/>
        <v/>
      </c>
      <c r="AN78" s="28" t="str">
        <f t="shared" si="38"/>
        <v/>
      </c>
      <c r="AO78" s="32" t="str">
        <f t="shared" si="39"/>
        <v/>
      </c>
      <c r="AP78" s="33" t="str">
        <f t="shared" si="40"/>
        <v/>
      </c>
      <c r="AQ78" s="34" t="str">
        <f t="shared" si="41"/>
        <v/>
      </c>
      <c r="AR78" s="28" t="str">
        <f t="shared" si="42"/>
        <v/>
      </c>
      <c r="DF78" s="38"/>
      <c r="DG78" s="28"/>
      <c r="DH78" s="10"/>
    </row>
    <row r="79" spans="26:112" x14ac:dyDescent="0.2">
      <c r="Z79">
        <f t="shared" si="28"/>
        <v>99</v>
      </c>
      <c r="AA79" s="27" t="str">
        <f t="shared" si="29"/>
        <v/>
      </c>
      <c r="AB79" s="31" t="str">
        <f t="shared" si="24"/>
        <v/>
      </c>
      <c r="AC79" s="31" t="str">
        <f t="shared" si="30"/>
        <v/>
      </c>
      <c r="AD79" s="28" t="str">
        <f t="shared" si="31"/>
        <v/>
      </c>
      <c r="AE79" s="10" t="str">
        <f t="shared" si="32"/>
        <v/>
      </c>
      <c r="AF79" s="28" t="str">
        <f t="shared" si="33"/>
        <v/>
      </c>
      <c r="AG79" s="28" t="str">
        <f t="shared" si="25"/>
        <v/>
      </c>
      <c r="AH79" s="28" t="str">
        <f t="shared" si="26"/>
        <v/>
      </c>
      <c r="AI79" s="28" t="str">
        <f t="shared" si="34"/>
        <v/>
      </c>
      <c r="AJ79" s="28" t="str">
        <f t="shared" si="35"/>
        <v/>
      </c>
      <c r="AK79" s="28" t="str">
        <f t="shared" si="27"/>
        <v/>
      </c>
      <c r="AL79" s="28" t="str">
        <f t="shared" si="36"/>
        <v/>
      </c>
      <c r="AM79" s="28" t="str">
        <f t="shared" si="37"/>
        <v/>
      </c>
      <c r="AN79" s="28" t="str">
        <f t="shared" si="38"/>
        <v/>
      </c>
      <c r="AO79" s="32" t="str">
        <f t="shared" si="39"/>
        <v/>
      </c>
      <c r="AP79" s="33" t="str">
        <f t="shared" si="40"/>
        <v/>
      </c>
      <c r="AQ79" s="34" t="str">
        <f t="shared" si="41"/>
        <v/>
      </c>
      <c r="AR79" s="28" t="str">
        <f t="shared" si="42"/>
        <v/>
      </c>
      <c r="DF79" s="38"/>
      <c r="DG79" s="28"/>
      <c r="DH79" s="10"/>
    </row>
    <row r="80" spans="26:112" x14ac:dyDescent="0.2">
      <c r="Z80">
        <f t="shared" si="28"/>
        <v>100</v>
      </c>
      <c r="AA80" s="27" t="str">
        <f t="shared" si="29"/>
        <v/>
      </c>
      <c r="AB80" s="31" t="str">
        <f t="shared" si="24"/>
        <v/>
      </c>
      <c r="AC80" s="31" t="str">
        <f t="shared" si="30"/>
        <v/>
      </c>
      <c r="AD80" s="28" t="str">
        <f t="shared" si="31"/>
        <v/>
      </c>
      <c r="AE80" s="10" t="str">
        <f t="shared" si="32"/>
        <v/>
      </c>
      <c r="AF80" s="28" t="str">
        <f t="shared" si="33"/>
        <v/>
      </c>
      <c r="AG80" s="28" t="str">
        <f t="shared" si="25"/>
        <v/>
      </c>
      <c r="AH80" s="28" t="str">
        <f t="shared" si="26"/>
        <v/>
      </c>
      <c r="AI80" s="28" t="str">
        <f t="shared" si="34"/>
        <v/>
      </c>
      <c r="AJ80" s="28" t="str">
        <f t="shared" si="35"/>
        <v/>
      </c>
      <c r="AK80" s="28" t="str">
        <f t="shared" si="27"/>
        <v/>
      </c>
      <c r="AL80" s="28" t="str">
        <f t="shared" si="36"/>
        <v/>
      </c>
      <c r="AM80" s="28" t="str">
        <f t="shared" si="37"/>
        <v/>
      </c>
      <c r="AN80" s="28" t="str">
        <f t="shared" si="38"/>
        <v/>
      </c>
      <c r="AO80" s="32" t="str">
        <f t="shared" si="39"/>
        <v/>
      </c>
      <c r="AP80" s="33" t="str">
        <f t="shared" si="40"/>
        <v/>
      </c>
      <c r="AQ80" s="34" t="str">
        <f t="shared" si="41"/>
        <v/>
      </c>
      <c r="AR80" s="28" t="str">
        <f t="shared" si="42"/>
        <v/>
      </c>
      <c r="DF80" s="38"/>
      <c r="DG80" s="28"/>
      <c r="DH80" s="10"/>
    </row>
    <row r="81" spans="26:112" x14ac:dyDescent="0.2">
      <c r="Z81">
        <f t="shared" si="28"/>
        <v>101</v>
      </c>
      <c r="AA81" s="27" t="str">
        <f t="shared" si="29"/>
        <v/>
      </c>
      <c r="AB81" s="31" t="str">
        <f t="shared" si="24"/>
        <v/>
      </c>
      <c r="AC81" s="31" t="str">
        <f t="shared" si="30"/>
        <v/>
      </c>
      <c r="AD81" s="28" t="str">
        <f t="shared" si="31"/>
        <v/>
      </c>
      <c r="AE81" s="10" t="str">
        <f t="shared" si="32"/>
        <v/>
      </c>
      <c r="AF81" s="28" t="str">
        <f t="shared" si="33"/>
        <v/>
      </c>
      <c r="AG81" s="28" t="str">
        <f t="shared" si="25"/>
        <v/>
      </c>
      <c r="AH81" s="28" t="str">
        <f t="shared" si="26"/>
        <v/>
      </c>
      <c r="AI81" s="28" t="str">
        <f t="shared" si="34"/>
        <v/>
      </c>
      <c r="AJ81" s="28" t="str">
        <f t="shared" si="35"/>
        <v/>
      </c>
      <c r="AK81" s="28" t="str">
        <f t="shared" si="27"/>
        <v/>
      </c>
      <c r="AL81" s="28" t="str">
        <f t="shared" si="36"/>
        <v/>
      </c>
      <c r="AM81" s="28" t="str">
        <f t="shared" si="37"/>
        <v/>
      </c>
      <c r="AN81" s="28" t="str">
        <f t="shared" si="38"/>
        <v/>
      </c>
      <c r="AO81" s="32" t="str">
        <f t="shared" si="39"/>
        <v/>
      </c>
      <c r="AP81" s="33" t="str">
        <f t="shared" si="40"/>
        <v/>
      </c>
      <c r="AQ81" s="34" t="str">
        <f t="shared" si="41"/>
        <v/>
      </c>
      <c r="AR81" s="28" t="str">
        <f t="shared" si="42"/>
        <v/>
      </c>
      <c r="DF81" s="38"/>
      <c r="DG81" s="28"/>
      <c r="DH81" s="10"/>
    </row>
    <row r="82" spans="26:112" x14ac:dyDescent="0.2">
      <c r="Z82">
        <f t="shared" si="28"/>
        <v>102</v>
      </c>
      <c r="AA82" s="27" t="str">
        <f t="shared" si="29"/>
        <v/>
      </c>
      <c r="AB82" s="31" t="str">
        <f t="shared" si="24"/>
        <v/>
      </c>
      <c r="AC82" s="31" t="str">
        <f t="shared" si="30"/>
        <v/>
      </c>
      <c r="AD82" s="28" t="str">
        <f t="shared" si="31"/>
        <v/>
      </c>
      <c r="AE82" s="10" t="str">
        <f t="shared" si="32"/>
        <v/>
      </c>
      <c r="AF82" s="28" t="str">
        <f t="shared" si="33"/>
        <v/>
      </c>
      <c r="AG82" s="28" t="str">
        <f t="shared" si="25"/>
        <v/>
      </c>
      <c r="AH82" s="28" t="str">
        <f t="shared" si="26"/>
        <v/>
      </c>
      <c r="AI82" s="28" t="str">
        <f t="shared" si="34"/>
        <v/>
      </c>
      <c r="AJ82" s="28" t="str">
        <f t="shared" si="35"/>
        <v/>
      </c>
      <c r="AK82" s="28" t="str">
        <f t="shared" si="27"/>
        <v/>
      </c>
      <c r="AL82" s="28" t="str">
        <f t="shared" si="36"/>
        <v/>
      </c>
      <c r="AM82" s="28" t="str">
        <f t="shared" si="37"/>
        <v/>
      </c>
      <c r="AN82" s="28" t="str">
        <f t="shared" si="38"/>
        <v/>
      </c>
      <c r="AO82" s="32" t="str">
        <f t="shared" si="39"/>
        <v/>
      </c>
      <c r="AP82" s="33" t="str">
        <f t="shared" si="40"/>
        <v/>
      </c>
      <c r="AQ82" s="34" t="str">
        <f t="shared" si="41"/>
        <v/>
      </c>
      <c r="AR82" s="28" t="str">
        <f t="shared" si="42"/>
        <v/>
      </c>
      <c r="DF82" s="38"/>
      <c r="DG82" s="28"/>
      <c r="DH82" s="10"/>
    </row>
    <row r="83" spans="26:112" x14ac:dyDescent="0.2">
      <c r="Z83">
        <f t="shared" si="28"/>
        <v>103</v>
      </c>
      <c r="AA83" s="27" t="str">
        <f t="shared" si="29"/>
        <v/>
      </c>
      <c r="AB83" s="31" t="str">
        <f t="shared" si="24"/>
        <v/>
      </c>
      <c r="AC83" s="31" t="str">
        <f t="shared" si="30"/>
        <v/>
      </c>
      <c r="AD83" s="28" t="str">
        <f t="shared" si="31"/>
        <v/>
      </c>
      <c r="AE83" s="10" t="str">
        <f t="shared" si="32"/>
        <v/>
      </c>
      <c r="AF83" s="28" t="str">
        <f t="shared" si="33"/>
        <v/>
      </c>
      <c r="AG83" s="28" t="str">
        <f t="shared" si="25"/>
        <v/>
      </c>
      <c r="AH83" s="28" t="str">
        <f t="shared" si="26"/>
        <v/>
      </c>
      <c r="AI83" s="28" t="str">
        <f t="shared" si="34"/>
        <v/>
      </c>
      <c r="AJ83" s="28" t="str">
        <f t="shared" si="35"/>
        <v/>
      </c>
      <c r="AK83" s="28" t="str">
        <f t="shared" si="27"/>
        <v/>
      </c>
      <c r="AL83" s="28" t="str">
        <f t="shared" si="36"/>
        <v/>
      </c>
      <c r="AM83" s="28" t="str">
        <f t="shared" si="37"/>
        <v/>
      </c>
      <c r="AN83" s="28" t="str">
        <f t="shared" si="38"/>
        <v/>
      </c>
      <c r="AO83" s="32" t="str">
        <f t="shared" si="39"/>
        <v/>
      </c>
      <c r="AP83" s="33" t="str">
        <f t="shared" si="40"/>
        <v/>
      </c>
      <c r="AQ83" s="34" t="str">
        <f t="shared" si="41"/>
        <v/>
      </c>
      <c r="AR83" s="28" t="str">
        <f t="shared" si="42"/>
        <v/>
      </c>
      <c r="DF83" s="38"/>
      <c r="DG83" s="28"/>
      <c r="DH83" s="10"/>
    </row>
    <row r="84" spans="26:112" x14ac:dyDescent="0.2">
      <c r="Z84">
        <f t="shared" si="28"/>
        <v>104</v>
      </c>
      <c r="AA84" s="27" t="str">
        <f t="shared" si="29"/>
        <v/>
      </c>
      <c r="AB84" s="31" t="str">
        <f t="shared" si="24"/>
        <v/>
      </c>
      <c r="AC84" s="31" t="str">
        <f t="shared" si="30"/>
        <v/>
      </c>
      <c r="AD84" s="28" t="str">
        <f t="shared" si="31"/>
        <v/>
      </c>
      <c r="AE84" s="10" t="str">
        <f t="shared" si="32"/>
        <v/>
      </c>
      <c r="AF84" s="28" t="str">
        <f t="shared" si="33"/>
        <v/>
      </c>
      <c r="AG84" s="28" t="str">
        <f t="shared" si="25"/>
        <v/>
      </c>
      <c r="AH84" s="28" t="str">
        <f t="shared" si="26"/>
        <v/>
      </c>
      <c r="AI84" s="28" t="str">
        <f t="shared" si="34"/>
        <v/>
      </c>
      <c r="AJ84" s="28" t="str">
        <f t="shared" si="35"/>
        <v/>
      </c>
      <c r="AK84" s="28" t="str">
        <f t="shared" si="27"/>
        <v/>
      </c>
      <c r="AL84" s="28" t="str">
        <f t="shared" si="36"/>
        <v/>
      </c>
      <c r="AM84" s="28" t="str">
        <f t="shared" si="37"/>
        <v/>
      </c>
      <c r="AN84" s="28" t="str">
        <f t="shared" si="38"/>
        <v/>
      </c>
      <c r="AO84" s="32" t="str">
        <f t="shared" si="39"/>
        <v/>
      </c>
      <c r="AP84" s="33" t="str">
        <f t="shared" si="40"/>
        <v/>
      </c>
      <c r="AQ84" s="34" t="str">
        <f t="shared" si="41"/>
        <v/>
      </c>
      <c r="AR84" s="28" t="str">
        <f t="shared" si="42"/>
        <v/>
      </c>
    </row>
    <row r="85" spans="26:112" x14ac:dyDescent="0.2">
      <c r="Z85">
        <f t="shared" si="28"/>
        <v>105</v>
      </c>
      <c r="AA85" s="27" t="str">
        <f t="shared" si="29"/>
        <v/>
      </c>
      <c r="AB85" s="31" t="str">
        <f t="shared" si="24"/>
        <v/>
      </c>
      <c r="AC85" s="31" t="str">
        <f t="shared" si="30"/>
        <v/>
      </c>
      <c r="AD85" s="28" t="str">
        <f t="shared" si="31"/>
        <v/>
      </c>
      <c r="AE85" s="10" t="str">
        <f t="shared" si="32"/>
        <v/>
      </c>
      <c r="AF85" s="28" t="str">
        <f t="shared" si="33"/>
        <v/>
      </c>
      <c r="AG85" s="28" t="str">
        <f t="shared" si="25"/>
        <v/>
      </c>
      <c r="AH85" s="28" t="str">
        <f t="shared" si="26"/>
        <v/>
      </c>
      <c r="AI85" s="28" t="str">
        <f t="shared" si="34"/>
        <v/>
      </c>
      <c r="AJ85" s="28" t="str">
        <f t="shared" si="35"/>
        <v/>
      </c>
      <c r="AK85" s="28" t="str">
        <f t="shared" si="27"/>
        <v/>
      </c>
      <c r="AL85" s="28" t="str">
        <f t="shared" si="36"/>
        <v/>
      </c>
      <c r="AM85" s="28" t="str">
        <f t="shared" si="37"/>
        <v/>
      </c>
      <c r="AN85" s="28" t="str">
        <f t="shared" si="38"/>
        <v/>
      </c>
      <c r="AO85" s="32" t="str">
        <f t="shared" si="39"/>
        <v/>
      </c>
      <c r="AP85" s="33" t="str">
        <f t="shared" si="40"/>
        <v/>
      </c>
      <c r="AQ85" s="34" t="str">
        <f t="shared" si="41"/>
        <v/>
      </c>
      <c r="AR85" s="28" t="str">
        <f t="shared" si="42"/>
        <v/>
      </c>
    </row>
    <row r="86" spans="26:112" x14ac:dyDescent="0.2">
      <c r="Z86">
        <f t="shared" si="28"/>
        <v>106</v>
      </c>
      <c r="AA86" s="27" t="str">
        <f t="shared" si="29"/>
        <v/>
      </c>
      <c r="AB86" s="31" t="str">
        <f t="shared" si="24"/>
        <v/>
      </c>
      <c r="AC86" s="31" t="str">
        <f t="shared" si="30"/>
        <v/>
      </c>
      <c r="AD86" s="28" t="str">
        <f t="shared" si="31"/>
        <v/>
      </c>
      <c r="AE86" s="10" t="str">
        <f t="shared" si="32"/>
        <v/>
      </c>
      <c r="AF86" s="28" t="str">
        <f t="shared" si="33"/>
        <v/>
      </c>
      <c r="AG86" s="28" t="str">
        <f t="shared" si="25"/>
        <v/>
      </c>
      <c r="AH86" s="28" t="str">
        <f t="shared" si="26"/>
        <v/>
      </c>
      <c r="AI86" s="28" t="str">
        <f t="shared" si="34"/>
        <v/>
      </c>
      <c r="AJ86" s="28" t="str">
        <f t="shared" si="35"/>
        <v/>
      </c>
      <c r="AK86" s="28" t="str">
        <f t="shared" si="27"/>
        <v/>
      </c>
      <c r="AL86" s="28" t="str">
        <f t="shared" si="36"/>
        <v/>
      </c>
      <c r="AM86" s="28" t="str">
        <f t="shared" si="37"/>
        <v/>
      </c>
      <c r="AN86" s="28" t="str">
        <f t="shared" si="38"/>
        <v/>
      </c>
      <c r="AO86" s="32" t="str">
        <f t="shared" si="39"/>
        <v/>
      </c>
      <c r="AP86" s="33" t="str">
        <f t="shared" si="40"/>
        <v/>
      </c>
      <c r="AQ86" s="34" t="str">
        <f t="shared" si="41"/>
        <v/>
      </c>
      <c r="AR86" s="28" t="str">
        <f t="shared" si="42"/>
        <v/>
      </c>
    </row>
    <row r="87" spans="26:112" x14ac:dyDescent="0.2">
      <c r="Z87">
        <f t="shared" si="28"/>
        <v>107</v>
      </c>
      <c r="AA87" s="27" t="str">
        <f t="shared" si="29"/>
        <v/>
      </c>
      <c r="AB87" s="31" t="str">
        <f t="shared" si="24"/>
        <v/>
      </c>
      <c r="AC87" s="31" t="str">
        <f t="shared" si="30"/>
        <v/>
      </c>
      <c r="AD87" s="28" t="str">
        <f t="shared" si="31"/>
        <v/>
      </c>
      <c r="AE87" s="10" t="str">
        <f t="shared" si="32"/>
        <v/>
      </c>
      <c r="AF87" s="28" t="str">
        <f t="shared" si="33"/>
        <v/>
      </c>
      <c r="AG87" s="28" t="str">
        <f t="shared" si="25"/>
        <v/>
      </c>
      <c r="AH87" s="28" t="str">
        <f t="shared" si="26"/>
        <v/>
      </c>
      <c r="AI87" s="28" t="str">
        <f t="shared" si="34"/>
        <v/>
      </c>
      <c r="AJ87" s="28" t="str">
        <f t="shared" si="35"/>
        <v/>
      </c>
      <c r="AK87" s="28" t="str">
        <f t="shared" si="27"/>
        <v/>
      </c>
      <c r="AL87" s="28" t="str">
        <f t="shared" si="36"/>
        <v/>
      </c>
      <c r="AM87" s="28" t="str">
        <f t="shared" si="37"/>
        <v/>
      </c>
      <c r="AN87" s="28" t="str">
        <f t="shared" si="38"/>
        <v/>
      </c>
      <c r="AO87" s="32" t="str">
        <f t="shared" si="39"/>
        <v/>
      </c>
      <c r="AP87" s="33" t="str">
        <f t="shared" si="40"/>
        <v/>
      </c>
      <c r="AQ87" s="34" t="str">
        <f t="shared" si="41"/>
        <v/>
      </c>
      <c r="AR87" s="28" t="str">
        <f t="shared" si="42"/>
        <v/>
      </c>
    </row>
    <row r="88" spans="26:112" x14ac:dyDescent="0.2">
      <c r="Z88">
        <f t="shared" si="28"/>
        <v>108</v>
      </c>
      <c r="AA88" s="27" t="str">
        <f t="shared" si="29"/>
        <v/>
      </c>
      <c r="AB88" s="31" t="str">
        <f t="shared" si="24"/>
        <v/>
      </c>
      <c r="AC88" s="31" t="str">
        <f t="shared" si="30"/>
        <v/>
      </c>
      <c r="AD88" s="28" t="str">
        <f t="shared" si="31"/>
        <v/>
      </c>
      <c r="AE88" s="10" t="str">
        <f t="shared" si="32"/>
        <v/>
      </c>
      <c r="AF88" s="28" t="str">
        <f t="shared" si="33"/>
        <v/>
      </c>
      <c r="AG88" s="28" t="str">
        <f t="shared" si="25"/>
        <v/>
      </c>
      <c r="AH88" s="28" t="str">
        <f t="shared" si="26"/>
        <v/>
      </c>
      <c r="AI88" s="28" t="str">
        <f t="shared" si="34"/>
        <v/>
      </c>
      <c r="AJ88" s="28" t="str">
        <f t="shared" si="35"/>
        <v/>
      </c>
      <c r="AK88" s="28" t="str">
        <f t="shared" si="27"/>
        <v/>
      </c>
      <c r="AL88" s="28" t="str">
        <f t="shared" si="36"/>
        <v/>
      </c>
      <c r="AM88" s="28" t="str">
        <f t="shared" si="37"/>
        <v/>
      </c>
      <c r="AN88" s="28" t="str">
        <f t="shared" si="38"/>
        <v/>
      </c>
      <c r="AO88" s="32" t="str">
        <f t="shared" si="39"/>
        <v/>
      </c>
      <c r="AP88" s="33" t="str">
        <f t="shared" si="40"/>
        <v/>
      </c>
      <c r="AQ88" s="34" t="str">
        <f t="shared" si="41"/>
        <v/>
      </c>
      <c r="AR88" s="28" t="str">
        <f t="shared" si="42"/>
        <v/>
      </c>
    </row>
    <row r="89" spans="26:112" x14ac:dyDescent="0.2">
      <c r="Z89">
        <f t="shared" si="28"/>
        <v>109</v>
      </c>
      <c r="AA89" s="27" t="str">
        <f t="shared" si="29"/>
        <v/>
      </c>
      <c r="AB89" s="31" t="str">
        <f t="shared" si="24"/>
        <v/>
      </c>
      <c r="AC89" s="31" t="str">
        <f t="shared" si="30"/>
        <v/>
      </c>
      <c r="AD89" s="28" t="str">
        <f t="shared" si="31"/>
        <v/>
      </c>
      <c r="AE89" s="10" t="str">
        <f t="shared" si="32"/>
        <v/>
      </c>
      <c r="AF89" s="28" t="str">
        <f t="shared" si="33"/>
        <v/>
      </c>
      <c r="AG89" s="28" t="str">
        <f t="shared" si="25"/>
        <v/>
      </c>
      <c r="AH89" s="28" t="str">
        <f t="shared" si="26"/>
        <v/>
      </c>
      <c r="AI89" s="28" t="str">
        <f t="shared" si="34"/>
        <v/>
      </c>
      <c r="AJ89" s="28" t="str">
        <f t="shared" si="35"/>
        <v/>
      </c>
      <c r="AK89" s="28" t="str">
        <f t="shared" si="27"/>
        <v/>
      </c>
      <c r="AL89" s="28" t="str">
        <f t="shared" si="36"/>
        <v/>
      </c>
      <c r="AM89" s="28" t="str">
        <f t="shared" si="37"/>
        <v/>
      </c>
      <c r="AN89" s="28" t="str">
        <f t="shared" si="38"/>
        <v/>
      </c>
      <c r="AO89" s="32" t="str">
        <f t="shared" si="39"/>
        <v/>
      </c>
      <c r="AP89" s="33" t="str">
        <f t="shared" si="40"/>
        <v/>
      </c>
      <c r="AQ89" s="34" t="str">
        <f t="shared" si="41"/>
        <v/>
      </c>
      <c r="AR89" s="28" t="str">
        <f t="shared" si="42"/>
        <v/>
      </c>
    </row>
    <row r="90" spans="26:112" x14ac:dyDescent="0.2">
      <c r="Z90">
        <f t="shared" si="28"/>
        <v>110</v>
      </c>
      <c r="AA90" s="27" t="str">
        <f t="shared" si="29"/>
        <v/>
      </c>
      <c r="AB90" s="31" t="str">
        <f t="shared" si="24"/>
        <v/>
      </c>
      <c r="AC90" s="31" t="str">
        <f t="shared" si="30"/>
        <v/>
      </c>
      <c r="AD90" s="28" t="str">
        <f t="shared" si="31"/>
        <v/>
      </c>
      <c r="AE90" s="10" t="str">
        <f t="shared" si="32"/>
        <v/>
      </c>
      <c r="AF90" s="28" t="str">
        <f t="shared" si="33"/>
        <v/>
      </c>
      <c r="AG90" s="28" t="str">
        <f t="shared" si="25"/>
        <v/>
      </c>
      <c r="AH90" s="28" t="str">
        <f t="shared" si="26"/>
        <v/>
      </c>
      <c r="AI90" s="28" t="str">
        <f t="shared" si="34"/>
        <v/>
      </c>
      <c r="AJ90" s="28" t="str">
        <f t="shared" si="35"/>
        <v/>
      </c>
      <c r="AK90" s="28" t="str">
        <f t="shared" si="27"/>
        <v/>
      </c>
      <c r="AL90" s="28" t="str">
        <f t="shared" si="36"/>
        <v/>
      </c>
      <c r="AM90" s="28" t="str">
        <f t="shared" si="37"/>
        <v/>
      </c>
      <c r="AN90" s="28" t="str">
        <f t="shared" si="38"/>
        <v/>
      </c>
      <c r="AO90" s="32" t="str">
        <f t="shared" si="39"/>
        <v/>
      </c>
      <c r="AP90" s="33" t="str">
        <f t="shared" si="40"/>
        <v/>
      </c>
      <c r="AQ90" s="34" t="str">
        <f t="shared" si="41"/>
        <v/>
      </c>
      <c r="AR90" s="28" t="str">
        <f t="shared" si="42"/>
        <v/>
      </c>
    </row>
    <row r="91" spans="26:112" x14ac:dyDescent="0.2">
      <c r="Z91">
        <f t="shared" si="28"/>
        <v>111</v>
      </c>
      <c r="AA91" s="27" t="str">
        <f t="shared" si="29"/>
        <v/>
      </c>
      <c r="AB91" s="31" t="str">
        <f t="shared" si="24"/>
        <v/>
      </c>
      <c r="AC91" s="31" t="str">
        <f t="shared" si="30"/>
        <v/>
      </c>
      <c r="AD91" s="28" t="str">
        <f t="shared" si="31"/>
        <v/>
      </c>
      <c r="AE91" s="10" t="str">
        <f t="shared" si="32"/>
        <v/>
      </c>
      <c r="AF91" s="28" t="str">
        <f t="shared" si="33"/>
        <v/>
      </c>
      <c r="AG91" s="28" t="str">
        <f t="shared" si="25"/>
        <v/>
      </c>
      <c r="AH91" s="28" t="str">
        <f t="shared" si="26"/>
        <v/>
      </c>
      <c r="AI91" s="28" t="str">
        <f t="shared" si="34"/>
        <v/>
      </c>
      <c r="AJ91" s="28" t="str">
        <f t="shared" si="35"/>
        <v/>
      </c>
      <c r="AK91" s="28" t="str">
        <f t="shared" si="27"/>
        <v/>
      </c>
      <c r="AL91" s="28" t="str">
        <f t="shared" si="36"/>
        <v/>
      </c>
      <c r="AM91" s="28" t="str">
        <f t="shared" si="37"/>
        <v/>
      </c>
      <c r="AN91" s="28" t="str">
        <f t="shared" si="38"/>
        <v/>
      </c>
      <c r="AO91" s="32" t="str">
        <f t="shared" si="39"/>
        <v/>
      </c>
      <c r="AP91" s="33" t="str">
        <f t="shared" si="40"/>
        <v/>
      </c>
      <c r="AQ91" s="34" t="str">
        <f t="shared" si="41"/>
        <v/>
      </c>
      <c r="AR91" s="28" t="str">
        <f t="shared" si="42"/>
        <v/>
      </c>
    </row>
    <row r="92" spans="26:112" x14ac:dyDescent="0.2">
      <c r="Z92">
        <f t="shared" si="28"/>
        <v>112</v>
      </c>
      <c r="AA92" s="27" t="str">
        <f t="shared" si="29"/>
        <v/>
      </c>
      <c r="AB92" s="31" t="str">
        <f t="shared" si="24"/>
        <v/>
      </c>
      <c r="AC92" s="31" t="str">
        <f t="shared" si="30"/>
        <v/>
      </c>
      <c r="AD92" s="28" t="str">
        <f t="shared" si="31"/>
        <v/>
      </c>
      <c r="AE92" s="10" t="str">
        <f t="shared" si="32"/>
        <v/>
      </c>
      <c r="AF92" s="28" t="str">
        <f t="shared" si="33"/>
        <v/>
      </c>
      <c r="AG92" s="28" t="str">
        <f t="shared" si="25"/>
        <v/>
      </c>
      <c r="AH92" s="28" t="str">
        <f t="shared" si="26"/>
        <v/>
      </c>
      <c r="AI92" s="28" t="str">
        <f t="shared" si="34"/>
        <v/>
      </c>
      <c r="AJ92" s="28" t="str">
        <f t="shared" si="35"/>
        <v/>
      </c>
      <c r="AK92" s="28" t="str">
        <f t="shared" si="27"/>
        <v/>
      </c>
      <c r="AL92" s="28" t="str">
        <f t="shared" si="36"/>
        <v/>
      </c>
      <c r="AM92" s="28" t="str">
        <f t="shared" si="37"/>
        <v/>
      </c>
      <c r="AN92" s="28" t="str">
        <f t="shared" si="38"/>
        <v/>
      </c>
      <c r="AO92" s="32" t="str">
        <f t="shared" si="39"/>
        <v/>
      </c>
      <c r="AP92" s="33" t="str">
        <f t="shared" si="40"/>
        <v/>
      </c>
      <c r="AQ92" s="34" t="str">
        <f t="shared" si="41"/>
        <v/>
      </c>
      <c r="AR92" s="28" t="str">
        <f t="shared" si="42"/>
        <v/>
      </c>
    </row>
    <row r="93" spans="26:112" x14ac:dyDescent="0.2">
      <c r="Z93">
        <f t="shared" si="28"/>
        <v>113</v>
      </c>
      <c r="AA93" s="27" t="str">
        <f t="shared" si="29"/>
        <v/>
      </c>
      <c r="AB93" s="31" t="str">
        <f t="shared" si="24"/>
        <v/>
      </c>
      <c r="AC93" s="31" t="str">
        <f t="shared" si="30"/>
        <v/>
      </c>
      <c r="AD93" s="28" t="str">
        <f t="shared" si="31"/>
        <v/>
      </c>
      <c r="AE93" s="10" t="str">
        <f t="shared" si="32"/>
        <v/>
      </c>
      <c r="AF93" s="28" t="str">
        <f t="shared" si="33"/>
        <v/>
      </c>
      <c r="AG93" s="28" t="str">
        <f t="shared" si="25"/>
        <v/>
      </c>
      <c r="AH93" s="28" t="str">
        <f t="shared" si="26"/>
        <v/>
      </c>
      <c r="AI93" s="28" t="str">
        <f t="shared" si="34"/>
        <v/>
      </c>
      <c r="AJ93" s="28" t="str">
        <f t="shared" si="35"/>
        <v/>
      </c>
      <c r="AK93" s="28" t="str">
        <f t="shared" si="27"/>
        <v/>
      </c>
      <c r="AL93" s="28" t="str">
        <f t="shared" si="36"/>
        <v/>
      </c>
      <c r="AM93" s="28" t="str">
        <f t="shared" si="37"/>
        <v/>
      </c>
      <c r="AN93" s="28" t="str">
        <f t="shared" si="38"/>
        <v/>
      </c>
      <c r="AO93" s="32" t="str">
        <f t="shared" si="39"/>
        <v/>
      </c>
      <c r="AP93" s="33" t="str">
        <f t="shared" si="40"/>
        <v/>
      </c>
      <c r="AQ93" s="34" t="str">
        <f t="shared" si="41"/>
        <v/>
      </c>
      <c r="AR93" s="28" t="str">
        <f t="shared" si="42"/>
        <v/>
      </c>
    </row>
    <row r="94" spans="26:112" x14ac:dyDescent="0.2">
      <c r="Z94">
        <f t="shared" si="28"/>
        <v>114</v>
      </c>
      <c r="AA94" s="27" t="str">
        <f t="shared" si="29"/>
        <v/>
      </c>
      <c r="AB94" s="31" t="str">
        <f t="shared" si="24"/>
        <v/>
      </c>
      <c r="AC94" s="31" t="str">
        <f t="shared" si="30"/>
        <v/>
      </c>
      <c r="AD94" s="28" t="str">
        <f t="shared" si="31"/>
        <v/>
      </c>
      <c r="AE94" s="10" t="str">
        <f t="shared" si="32"/>
        <v/>
      </c>
      <c r="AF94" s="28" t="str">
        <f t="shared" si="33"/>
        <v/>
      </c>
      <c r="AG94" s="28" t="str">
        <f t="shared" si="25"/>
        <v/>
      </c>
      <c r="AH94" s="28" t="str">
        <f t="shared" si="26"/>
        <v/>
      </c>
      <c r="AI94" s="28" t="str">
        <f t="shared" si="34"/>
        <v/>
      </c>
      <c r="AJ94" s="28" t="str">
        <f t="shared" si="35"/>
        <v/>
      </c>
      <c r="AK94" s="28" t="str">
        <f t="shared" si="27"/>
        <v/>
      </c>
      <c r="AL94" s="28" t="str">
        <f t="shared" si="36"/>
        <v/>
      </c>
      <c r="AM94" s="28" t="str">
        <f t="shared" si="37"/>
        <v/>
      </c>
      <c r="AN94" s="28" t="str">
        <f t="shared" si="38"/>
        <v/>
      </c>
      <c r="AO94" s="32" t="str">
        <f t="shared" si="39"/>
        <v/>
      </c>
      <c r="AP94" s="33" t="str">
        <f t="shared" si="40"/>
        <v/>
      </c>
      <c r="AQ94" s="34" t="str">
        <f t="shared" si="41"/>
        <v/>
      </c>
      <c r="AR94" s="28" t="str">
        <f t="shared" si="42"/>
        <v/>
      </c>
    </row>
    <row r="95" spans="26:112" x14ac:dyDescent="0.2">
      <c r="Z95">
        <f t="shared" si="28"/>
        <v>115</v>
      </c>
      <c r="AA95" s="27" t="str">
        <f t="shared" si="29"/>
        <v/>
      </c>
      <c r="AB95" s="31" t="str">
        <f t="shared" si="24"/>
        <v/>
      </c>
      <c r="AC95" s="31" t="str">
        <f t="shared" si="30"/>
        <v/>
      </c>
      <c r="AD95" s="28" t="str">
        <f t="shared" si="31"/>
        <v/>
      </c>
      <c r="AE95" s="10" t="str">
        <f t="shared" si="32"/>
        <v/>
      </c>
      <c r="AF95" s="28" t="str">
        <f t="shared" si="33"/>
        <v/>
      </c>
      <c r="AG95" s="28" t="str">
        <f t="shared" si="25"/>
        <v/>
      </c>
      <c r="AH95" s="28" t="str">
        <f t="shared" si="26"/>
        <v/>
      </c>
      <c r="AI95" s="28" t="str">
        <f t="shared" si="34"/>
        <v/>
      </c>
      <c r="AJ95" s="28" t="str">
        <f t="shared" si="35"/>
        <v/>
      </c>
      <c r="AK95" s="28" t="str">
        <f t="shared" si="27"/>
        <v/>
      </c>
      <c r="AL95" s="28" t="str">
        <f t="shared" si="36"/>
        <v/>
      </c>
      <c r="AM95" s="28" t="str">
        <f t="shared" si="37"/>
        <v/>
      </c>
      <c r="AN95" s="28" t="str">
        <f t="shared" si="38"/>
        <v/>
      </c>
      <c r="AO95" s="32" t="str">
        <f t="shared" si="39"/>
        <v/>
      </c>
      <c r="AP95" s="33" t="str">
        <f t="shared" si="40"/>
        <v/>
      </c>
      <c r="AQ95" s="34" t="str">
        <f t="shared" si="41"/>
        <v/>
      </c>
      <c r="AR95" s="28" t="str">
        <f t="shared" si="42"/>
        <v/>
      </c>
    </row>
    <row r="96" spans="26:112" x14ac:dyDescent="0.2">
      <c r="Z96">
        <f t="shared" si="28"/>
        <v>116</v>
      </c>
      <c r="AA96" s="27" t="str">
        <f t="shared" si="29"/>
        <v/>
      </c>
      <c r="AB96" s="31" t="str">
        <f t="shared" si="24"/>
        <v/>
      </c>
      <c r="AC96" s="31" t="str">
        <f t="shared" si="30"/>
        <v/>
      </c>
      <c r="AD96" s="28" t="str">
        <f t="shared" si="31"/>
        <v/>
      </c>
      <c r="AE96" s="10" t="str">
        <f t="shared" si="32"/>
        <v/>
      </c>
      <c r="AF96" s="28" t="str">
        <f t="shared" si="33"/>
        <v/>
      </c>
      <c r="AG96" s="28" t="str">
        <f t="shared" si="25"/>
        <v/>
      </c>
      <c r="AH96" s="28" t="str">
        <f t="shared" si="26"/>
        <v/>
      </c>
      <c r="AI96" s="28" t="str">
        <f t="shared" si="34"/>
        <v/>
      </c>
      <c r="AJ96" s="28" t="str">
        <f t="shared" si="35"/>
        <v/>
      </c>
      <c r="AK96" s="28" t="str">
        <f t="shared" si="27"/>
        <v/>
      </c>
      <c r="AL96" s="28" t="str">
        <f t="shared" si="36"/>
        <v/>
      </c>
      <c r="AM96" s="28" t="str">
        <f t="shared" si="37"/>
        <v/>
      </c>
      <c r="AN96" s="28" t="str">
        <f t="shared" si="38"/>
        <v/>
      </c>
      <c r="AO96" s="32" t="str">
        <f t="shared" si="39"/>
        <v/>
      </c>
      <c r="AP96" s="33" t="str">
        <f t="shared" si="40"/>
        <v/>
      </c>
      <c r="AQ96" s="34" t="str">
        <f t="shared" si="41"/>
        <v/>
      </c>
      <c r="AR96" s="28" t="str">
        <f t="shared" si="42"/>
        <v/>
      </c>
    </row>
    <row r="97" spans="26:44" x14ac:dyDescent="0.2">
      <c r="Z97">
        <f t="shared" si="28"/>
        <v>117</v>
      </c>
      <c r="AA97" s="27" t="str">
        <f t="shared" si="29"/>
        <v/>
      </c>
      <c r="AB97" s="31" t="str">
        <f t="shared" si="24"/>
        <v/>
      </c>
      <c r="AC97" s="31" t="str">
        <f t="shared" si="30"/>
        <v/>
      </c>
      <c r="AD97" s="28" t="str">
        <f t="shared" si="31"/>
        <v/>
      </c>
      <c r="AE97" s="10" t="str">
        <f t="shared" si="32"/>
        <v/>
      </c>
      <c r="AF97" s="28" t="str">
        <f t="shared" si="33"/>
        <v/>
      </c>
      <c r="AG97" s="28" t="str">
        <f t="shared" si="25"/>
        <v/>
      </c>
      <c r="AH97" s="28" t="str">
        <f t="shared" si="26"/>
        <v/>
      </c>
      <c r="AI97" s="28" t="str">
        <f t="shared" si="34"/>
        <v/>
      </c>
      <c r="AJ97" s="28" t="str">
        <f t="shared" si="35"/>
        <v/>
      </c>
      <c r="AK97" s="28" t="str">
        <f t="shared" si="27"/>
        <v/>
      </c>
      <c r="AL97" s="28" t="str">
        <f t="shared" si="36"/>
        <v/>
      </c>
      <c r="AM97" s="28" t="str">
        <f t="shared" si="37"/>
        <v/>
      </c>
      <c r="AN97" s="28" t="str">
        <f t="shared" si="38"/>
        <v/>
      </c>
      <c r="AO97" s="32" t="str">
        <f t="shared" si="39"/>
        <v/>
      </c>
      <c r="AP97" s="33" t="str">
        <f t="shared" si="40"/>
        <v/>
      </c>
      <c r="AQ97" s="34" t="str">
        <f t="shared" si="41"/>
        <v/>
      </c>
      <c r="AR97" s="28" t="str">
        <f t="shared" si="42"/>
        <v/>
      </c>
    </row>
    <row r="98" spans="26:44" x14ac:dyDescent="0.2">
      <c r="Z98">
        <f t="shared" si="28"/>
        <v>118</v>
      </c>
      <c r="AA98" s="27" t="str">
        <f t="shared" si="29"/>
        <v/>
      </c>
      <c r="AB98" s="31" t="str">
        <f t="shared" si="24"/>
        <v/>
      </c>
      <c r="AC98" s="31" t="str">
        <f t="shared" si="30"/>
        <v/>
      </c>
      <c r="AD98" s="28" t="str">
        <f t="shared" si="31"/>
        <v/>
      </c>
      <c r="AE98" s="10" t="str">
        <f t="shared" si="32"/>
        <v/>
      </c>
      <c r="AF98" s="28" t="str">
        <f t="shared" si="33"/>
        <v/>
      </c>
      <c r="AG98" s="28" t="str">
        <f t="shared" si="25"/>
        <v/>
      </c>
      <c r="AH98" s="28" t="str">
        <f t="shared" si="26"/>
        <v/>
      </c>
      <c r="AI98" s="28" t="str">
        <f t="shared" si="34"/>
        <v/>
      </c>
      <c r="AJ98" s="28" t="str">
        <f t="shared" si="35"/>
        <v/>
      </c>
      <c r="AK98" s="28" t="str">
        <f t="shared" si="27"/>
        <v/>
      </c>
      <c r="AL98" s="28" t="str">
        <f t="shared" si="36"/>
        <v/>
      </c>
      <c r="AM98" s="28" t="str">
        <f t="shared" si="37"/>
        <v/>
      </c>
      <c r="AN98" s="28" t="str">
        <f t="shared" si="38"/>
        <v/>
      </c>
      <c r="AO98" s="32" t="str">
        <f t="shared" si="39"/>
        <v/>
      </c>
      <c r="AP98" s="33" t="str">
        <f t="shared" si="40"/>
        <v/>
      </c>
      <c r="AQ98" s="34" t="str">
        <f t="shared" si="41"/>
        <v/>
      </c>
      <c r="AR98" s="28" t="str">
        <f t="shared" si="42"/>
        <v/>
      </c>
    </row>
    <row r="99" spans="26:44" x14ac:dyDescent="0.2">
      <c r="Z99">
        <f t="shared" si="28"/>
        <v>119</v>
      </c>
      <c r="AA99" s="27" t="str">
        <f t="shared" si="29"/>
        <v/>
      </c>
      <c r="AB99" s="31" t="str">
        <f t="shared" si="24"/>
        <v/>
      </c>
      <c r="AC99" s="31" t="str">
        <f t="shared" si="30"/>
        <v/>
      </c>
      <c r="AD99" s="28" t="str">
        <f t="shared" si="31"/>
        <v/>
      </c>
      <c r="AE99" s="10" t="str">
        <f t="shared" si="32"/>
        <v/>
      </c>
      <c r="AF99" s="28" t="str">
        <f t="shared" si="33"/>
        <v/>
      </c>
      <c r="AG99" s="28" t="str">
        <f t="shared" si="25"/>
        <v/>
      </c>
      <c r="AH99" s="28" t="str">
        <f t="shared" si="26"/>
        <v/>
      </c>
      <c r="AI99" s="28" t="str">
        <f t="shared" si="34"/>
        <v/>
      </c>
      <c r="AJ99" s="28" t="str">
        <f t="shared" si="35"/>
        <v/>
      </c>
      <c r="AK99" s="28" t="str">
        <f t="shared" si="27"/>
        <v/>
      </c>
      <c r="AL99" s="28" t="str">
        <f t="shared" si="36"/>
        <v/>
      </c>
      <c r="AM99" s="28" t="str">
        <f t="shared" si="37"/>
        <v/>
      </c>
      <c r="AN99" s="28" t="str">
        <f t="shared" si="38"/>
        <v/>
      </c>
      <c r="AO99" s="32" t="str">
        <f t="shared" si="39"/>
        <v/>
      </c>
      <c r="AP99" s="33" t="str">
        <f t="shared" si="40"/>
        <v/>
      </c>
      <c r="AQ99" s="34" t="str">
        <f t="shared" si="41"/>
        <v/>
      </c>
      <c r="AR99" s="28" t="str">
        <f t="shared" si="42"/>
        <v/>
      </c>
    </row>
    <row r="100" spans="26:44" x14ac:dyDescent="0.2">
      <c r="Z100">
        <f t="shared" si="28"/>
        <v>120</v>
      </c>
      <c r="AA100" s="27" t="str">
        <f t="shared" si="29"/>
        <v/>
      </c>
      <c r="AB100" s="31" t="str">
        <f t="shared" si="24"/>
        <v/>
      </c>
      <c r="AC100" s="31" t="str">
        <f t="shared" si="30"/>
        <v/>
      </c>
      <c r="AD100" s="28" t="str">
        <f t="shared" si="31"/>
        <v/>
      </c>
      <c r="AE100" s="10" t="str">
        <f t="shared" si="32"/>
        <v/>
      </c>
      <c r="AF100" s="28" t="str">
        <f t="shared" si="33"/>
        <v/>
      </c>
      <c r="AG100" s="28" t="str">
        <f t="shared" si="25"/>
        <v/>
      </c>
      <c r="AH100" s="28" t="str">
        <f t="shared" si="26"/>
        <v/>
      </c>
      <c r="AI100" s="28" t="str">
        <f t="shared" si="34"/>
        <v/>
      </c>
      <c r="AJ100" s="28" t="str">
        <f t="shared" si="35"/>
        <v/>
      </c>
      <c r="AK100" s="28" t="str">
        <f t="shared" si="27"/>
        <v/>
      </c>
      <c r="AL100" s="28" t="str">
        <f t="shared" si="36"/>
        <v/>
      </c>
      <c r="AM100" s="28" t="str">
        <f t="shared" si="37"/>
        <v/>
      </c>
      <c r="AN100" s="28" t="str">
        <f t="shared" si="38"/>
        <v/>
      </c>
      <c r="AO100" s="32" t="str">
        <f t="shared" si="39"/>
        <v/>
      </c>
      <c r="AP100" s="33" t="str">
        <f t="shared" si="40"/>
        <v/>
      </c>
      <c r="AQ100" s="34" t="str">
        <f t="shared" si="41"/>
        <v/>
      </c>
      <c r="AR100" s="28" t="str">
        <f t="shared" si="42"/>
        <v/>
      </c>
    </row>
    <row r="101" spans="26:44" x14ac:dyDescent="0.2">
      <c r="Z101">
        <f t="shared" si="28"/>
        <v>121</v>
      </c>
      <c r="AA101" s="27" t="str">
        <f t="shared" si="29"/>
        <v/>
      </c>
      <c r="AB101" s="31" t="str">
        <f t="shared" si="24"/>
        <v/>
      </c>
      <c r="AC101" s="31" t="str">
        <f t="shared" si="30"/>
        <v/>
      </c>
      <c r="AD101" s="28" t="str">
        <f t="shared" si="31"/>
        <v/>
      </c>
      <c r="AE101" s="10" t="str">
        <f t="shared" si="32"/>
        <v/>
      </c>
      <c r="AF101" s="28" t="str">
        <f t="shared" si="33"/>
        <v/>
      </c>
      <c r="AG101" s="28" t="str">
        <f t="shared" si="25"/>
        <v/>
      </c>
      <c r="AH101" s="28" t="str">
        <f t="shared" si="26"/>
        <v/>
      </c>
      <c r="AI101" s="28" t="str">
        <f t="shared" si="34"/>
        <v/>
      </c>
      <c r="AJ101" s="28" t="str">
        <f t="shared" si="35"/>
        <v/>
      </c>
      <c r="AK101" s="28" t="str">
        <f t="shared" si="27"/>
        <v/>
      </c>
      <c r="AL101" s="28" t="str">
        <f t="shared" si="36"/>
        <v/>
      </c>
      <c r="AM101" s="28" t="str">
        <f t="shared" si="37"/>
        <v/>
      </c>
      <c r="AN101" s="28" t="str">
        <f t="shared" si="38"/>
        <v/>
      </c>
      <c r="AO101" s="32" t="str">
        <f t="shared" si="39"/>
        <v/>
      </c>
      <c r="AP101" s="33" t="str">
        <f t="shared" si="40"/>
        <v/>
      </c>
      <c r="AQ101" s="34" t="str">
        <f t="shared" si="41"/>
        <v/>
      </c>
      <c r="AR101" s="28" t="str">
        <f t="shared" si="42"/>
        <v/>
      </c>
    </row>
    <row r="102" spans="26:44" x14ac:dyDescent="0.2">
      <c r="Z102">
        <f t="shared" si="28"/>
        <v>122</v>
      </c>
      <c r="AA102" s="27" t="str">
        <f t="shared" si="29"/>
        <v/>
      </c>
      <c r="AB102" s="31" t="str">
        <f t="shared" si="24"/>
        <v/>
      </c>
      <c r="AC102" s="31" t="str">
        <f t="shared" si="30"/>
        <v/>
      </c>
      <c r="AD102" s="28" t="str">
        <f t="shared" si="31"/>
        <v/>
      </c>
      <c r="AE102" s="10" t="str">
        <f t="shared" si="32"/>
        <v/>
      </c>
      <c r="AF102" s="28" t="str">
        <f t="shared" si="33"/>
        <v/>
      </c>
      <c r="AG102" s="28" t="str">
        <f t="shared" si="25"/>
        <v/>
      </c>
      <c r="AH102" s="28" t="str">
        <f t="shared" si="26"/>
        <v/>
      </c>
      <c r="AI102" s="28" t="str">
        <f t="shared" si="34"/>
        <v/>
      </c>
      <c r="AJ102" s="28" t="str">
        <f t="shared" si="35"/>
        <v/>
      </c>
      <c r="AK102" s="28" t="str">
        <f t="shared" si="27"/>
        <v/>
      </c>
      <c r="AL102" s="28" t="str">
        <f t="shared" si="36"/>
        <v/>
      </c>
      <c r="AM102" s="28" t="str">
        <f t="shared" si="37"/>
        <v/>
      </c>
      <c r="AN102" s="28" t="str">
        <f t="shared" si="38"/>
        <v/>
      </c>
      <c r="AO102" s="32" t="str">
        <f t="shared" si="39"/>
        <v/>
      </c>
      <c r="AP102" s="33" t="str">
        <f t="shared" si="40"/>
        <v/>
      </c>
      <c r="AQ102" s="34" t="str">
        <f t="shared" si="41"/>
        <v/>
      </c>
      <c r="AR102" s="28" t="str">
        <f t="shared" si="42"/>
        <v/>
      </c>
    </row>
    <row r="103" spans="26:44" x14ac:dyDescent="0.2">
      <c r="Z103">
        <f t="shared" si="28"/>
        <v>123</v>
      </c>
      <c r="AA103" s="27" t="str">
        <f t="shared" si="29"/>
        <v/>
      </c>
      <c r="AB103" s="31" t="str">
        <f t="shared" ref="AB103:AB106" si="43">IF(AA103="","",IF(AA103&lt;=RetirementAge,$B$11,""))</f>
        <v/>
      </c>
      <c r="AC103" s="31" t="str">
        <f t="shared" si="30"/>
        <v/>
      </c>
      <c r="AD103" s="28" t="str">
        <f t="shared" si="31"/>
        <v/>
      </c>
      <c r="AE103" s="10" t="str">
        <f t="shared" si="32"/>
        <v/>
      </c>
      <c r="AF103" s="28" t="str">
        <f t="shared" si="33"/>
        <v/>
      </c>
      <c r="AG103" s="28" t="str">
        <f t="shared" si="25"/>
        <v/>
      </c>
      <c r="AH103" s="28" t="str">
        <f t="shared" si="26"/>
        <v/>
      </c>
      <c r="AI103" s="28" t="str">
        <f t="shared" si="34"/>
        <v/>
      </c>
      <c r="AJ103" s="28" t="str">
        <f t="shared" si="35"/>
        <v/>
      </c>
      <c r="AK103" s="28" t="str">
        <f t="shared" si="27"/>
        <v/>
      </c>
      <c r="AL103" s="28" t="str">
        <f t="shared" si="36"/>
        <v/>
      </c>
      <c r="AM103" s="28" t="str">
        <f t="shared" si="37"/>
        <v/>
      </c>
      <c r="AN103" s="28" t="str">
        <f t="shared" si="38"/>
        <v/>
      </c>
      <c r="AO103" s="32" t="str">
        <f t="shared" si="39"/>
        <v/>
      </c>
      <c r="AP103" s="33" t="str">
        <f t="shared" si="40"/>
        <v/>
      </c>
      <c r="AQ103" s="34" t="str">
        <f t="shared" si="41"/>
        <v/>
      </c>
      <c r="AR103" s="28" t="str">
        <f t="shared" si="42"/>
        <v/>
      </c>
    </row>
    <row r="104" spans="26:44" x14ac:dyDescent="0.2">
      <c r="Z104">
        <f t="shared" si="28"/>
        <v>124</v>
      </c>
      <c r="AA104" s="27" t="str">
        <f t="shared" si="29"/>
        <v/>
      </c>
      <c r="AB104" s="31" t="str">
        <f t="shared" si="43"/>
        <v/>
      </c>
      <c r="AC104" s="31" t="str">
        <f t="shared" si="30"/>
        <v/>
      </c>
      <c r="AD104" s="28" t="str">
        <f t="shared" si="31"/>
        <v/>
      </c>
      <c r="AE104" s="10" t="str">
        <f t="shared" si="32"/>
        <v/>
      </c>
      <c r="AF104" s="28" t="str">
        <f t="shared" si="33"/>
        <v/>
      </c>
      <c r="AG104" s="28" t="str">
        <f t="shared" si="25"/>
        <v/>
      </c>
      <c r="AH104" s="28" t="str">
        <f t="shared" si="26"/>
        <v/>
      </c>
      <c r="AI104" s="28" t="str">
        <f t="shared" si="34"/>
        <v/>
      </c>
      <c r="AJ104" s="28" t="str">
        <f t="shared" si="35"/>
        <v/>
      </c>
      <c r="AK104" s="28" t="str">
        <f t="shared" si="27"/>
        <v/>
      </c>
      <c r="AL104" s="28" t="str">
        <f t="shared" si="36"/>
        <v/>
      </c>
      <c r="AM104" s="28" t="str">
        <f t="shared" si="37"/>
        <v/>
      </c>
      <c r="AN104" s="28" t="str">
        <f t="shared" si="38"/>
        <v/>
      </c>
      <c r="AO104" s="32" t="str">
        <f t="shared" si="39"/>
        <v/>
      </c>
      <c r="AP104" s="33" t="str">
        <f t="shared" si="40"/>
        <v/>
      </c>
      <c r="AQ104" s="34" t="str">
        <f t="shared" si="41"/>
        <v/>
      </c>
      <c r="AR104" s="28" t="str">
        <f t="shared" si="42"/>
        <v/>
      </c>
    </row>
    <row r="105" spans="26:44" x14ac:dyDescent="0.2">
      <c r="Z105">
        <f t="shared" si="28"/>
        <v>125</v>
      </c>
      <c r="AA105" s="27" t="str">
        <f t="shared" si="29"/>
        <v/>
      </c>
      <c r="AB105" s="31" t="str">
        <f t="shared" si="43"/>
        <v/>
      </c>
      <c r="AC105" s="31" t="str">
        <f t="shared" si="30"/>
        <v/>
      </c>
      <c r="AD105" s="28" t="str">
        <f t="shared" si="31"/>
        <v/>
      </c>
      <c r="AE105" s="10" t="str">
        <f t="shared" si="32"/>
        <v/>
      </c>
      <c r="AF105" s="28" t="str">
        <f t="shared" si="33"/>
        <v/>
      </c>
      <c r="AG105" s="28" t="str">
        <f t="shared" si="25"/>
        <v/>
      </c>
      <c r="AH105" s="28" t="str">
        <f t="shared" si="26"/>
        <v/>
      </c>
      <c r="AI105" s="28" t="str">
        <f t="shared" si="34"/>
        <v/>
      </c>
      <c r="AJ105" s="28" t="str">
        <f t="shared" si="35"/>
        <v/>
      </c>
      <c r="AK105" s="28" t="str">
        <f t="shared" si="27"/>
        <v/>
      </c>
      <c r="AL105" s="28" t="str">
        <f t="shared" si="36"/>
        <v/>
      </c>
      <c r="AM105" s="28" t="str">
        <f t="shared" si="37"/>
        <v/>
      </c>
      <c r="AN105" s="28" t="str">
        <f t="shared" si="38"/>
        <v/>
      </c>
      <c r="AO105" s="32" t="str">
        <f t="shared" si="39"/>
        <v/>
      </c>
      <c r="AP105" s="33" t="str">
        <f t="shared" si="40"/>
        <v/>
      </c>
      <c r="AQ105" s="34" t="str">
        <f t="shared" si="41"/>
        <v/>
      </c>
      <c r="AR105" s="28" t="str">
        <f t="shared" si="42"/>
        <v/>
      </c>
    </row>
    <row r="106" spans="26:44" x14ac:dyDescent="0.2">
      <c r="Z106">
        <f t="shared" si="28"/>
        <v>126</v>
      </c>
      <c r="AA106" s="27" t="str">
        <f t="shared" si="29"/>
        <v/>
      </c>
      <c r="AB106" s="31" t="str">
        <f t="shared" si="43"/>
        <v/>
      </c>
      <c r="AC106" s="31" t="str">
        <f t="shared" si="30"/>
        <v/>
      </c>
      <c r="AD106" s="28" t="str">
        <f t="shared" si="31"/>
        <v/>
      </c>
      <c r="AE106" s="10" t="str">
        <f t="shared" si="32"/>
        <v/>
      </c>
      <c r="AF106" s="28" t="str">
        <f t="shared" si="33"/>
        <v/>
      </c>
      <c r="AG106" s="28" t="str">
        <f t="shared" si="25"/>
        <v/>
      </c>
      <c r="AH106" s="28" t="str">
        <f t="shared" si="26"/>
        <v/>
      </c>
      <c r="AI106" s="28" t="str">
        <f t="shared" si="34"/>
        <v/>
      </c>
      <c r="AJ106" s="28" t="str">
        <f t="shared" si="35"/>
        <v/>
      </c>
      <c r="AK106" s="28" t="str">
        <f t="shared" si="27"/>
        <v/>
      </c>
      <c r="AL106" s="28" t="str">
        <f t="shared" si="36"/>
        <v/>
      </c>
      <c r="AM106" s="28" t="str">
        <f t="shared" si="37"/>
        <v/>
      </c>
      <c r="AN106" s="28" t="str">
        <f t="shared" si="38"/>
        <v/>
      </c>
      <c r="AO106" s="32" t="str">
        <f t="shared" si="39"/>
        <v/>
      </c>
      <c r="AP106" s="33" t="str">
        <f t="shared" si="40"/>
        <v/>
      </c>
      <c r="AQ106" s="34" t="str">
        <f t="shared" si="41"/>
        <v/>
      </c>
      <c r="AR106" s="28" t="str">
        <f t="shared" si="42"/>
        <v/>
      </c>
    </row>
  </sheetData>
  <mergeCells count="64">
    <mergeCell ref="AC2:AC5"/>
    <mergeCell ref="A43:B43"/>
    <mergeCell ref="D44:E45"/>
    <mergeCell ref="D47:E48"/>
    <mergeCell ref="A1:B1"/>
    <mergeCell ref="A8:B8"/>
    <mergeCell ref="R4:T4"/>
    <mergeCell ref="AY4:BA4"/>
    <mergeCell ref="N31:N32"/>
    <mergeCell ref="L34:M34"/>
    <mergeCell ref="L23:M25"/>
    <mergeCell ref="AV2:AV5"/>
    <mergeCell ref="AQ2:AQ5"/>
    <mergeCell ref="AR2:AR5"/>
    <mergeCell ref="AD2:AD5"/>
    <mergeCell ref="AE2:AE5"/>
    <mergeCell ref="AA2:AA5"/>
    <mergeCell ref="AB2:AB5"/>
    <mergeCell ref="AF2:AF5"/>
    <mergeCell ref="AG2:AG5"/>
    <mergeCell ref="AN2:AN5"/>
    <mergeCell ref="AJ2:AJ5"/>
    <mergeCell ref="A38:C38"/>
    <mergeCell ref="E32:G32"/>
    <mergeCell ref="A14:B14"/>
    <mergeCell ref="A31:G31"/>
    <mergeCell ref="I21:M21"/>
    <mergeCell ref="I29:M29"/>
    <mergeCell ref="L31:L32"/>
    <mergeCell ref="AC1:AD1"/>
    <mergeCell ref="AT2:AT5"/>
    <mergeCell ref="AU2:AU5"/>
    <mergeCell ref="BM43:BV43"/>
    <mergeCell ref="BK45:BK56"/>
    <mergeCell ref="BK40:BY41"/>
    <mergeCell ref="BK1:BW2"/>
    <mergeCell ref="AG1:AN1"/>
    <mergeCell ref="AO1:AR1"/>
    <mergeCell ref="AO2:AO5"/>
    <mergeCell ref="AL2:AL5"/>
    <mergeCell ref="AP2:AP5"/>
    <mergeCell ref="AM2:AM5"/>
    <mergeCell ref="AH2:AH5"/>
    <mergeCell ref="AI2:AI5"/>
    <mergeCell ref="AK2:AK5"/>
    <mergeCell ref="DA1:DZ1"/>
    <mergeCell ref="DA3:DA5"/>
    <mergeCell ref="DA7:DA8"/>
    <mergeCell ref="DB7:DB8"/>
    <mergeCell ref="FA38:FC38"/>
    <mergeCell ref="DA19:DA21"/>
    <mergeCell ref="DA23:DA24"/>
    <mergeCell ref="DA12:DA13"/>
    <mergeCell ref="GA38:GC38"/>
    <mergeCell ref="FA1:FB1"/>
    <mergeCell ref="FA8:FB8"/>
    <mergeCell ref="FA14:FB14"/>
    <mergeCell ref="FA31:FG31"/>
    <mergeCell ref="FE32:FG32"/>
    <mergeCell ref="GA1:GB1"/>
    <mergeCell ref="GA8:GB8"/>
    <mergeCell ref="GA14:GB14"/>
    <mergeCell ref="GA31:GG31"/>
    <mergeCell ref="GE32:GG32"/>
  </mergeCells>
  <conditionalFormatting sqref="AA7:AR106">
    <cfRule type="expression" dxfId="6" priority="8">
      <formula>$AA7=""</formula>
    </cfRule>
  </conditionalFormatting>
  <conditionalFormatting sqref="I29:N36">
    <cfRule type="expression" dxfId="5" priority="6">
      <formula>OR($J$23=$DB$3, $J$23=$DB$4)</formula>
    </cfRule>
  </conditionalFormatting>
  <conditionalFormatting sqref="Z6:Z106">
    <cfRule type="expression" dxfId="4" priority="5">
      <formula>$Z6&gt;$DB$10+$Z$6</formula>
    </cfRule>
  </conditionalFormatting>
  <conditionalFormatting sqref="FI31:FJ32">
    <cfRule type="expression" dxfId="3" priority="4">
      <formula>OR($J$23=$DB$3, $J$23=$DB$4)</formula>
    </cfRule>
  </conditionalFormatting>
  <conditionalFormatting sqref="GI31:GJ32">
    <cfRule type="expression" dxfId="2" priority="3">
      <formula>OR($J$23=$DB$3, $J$23=$DB$4)</formula>
    </cfRule>
  </conditionalFormatting>
  <conditionalFormatting sqref="D44:E45">
    <cfRule type="expression" dxfId="1" priority="2">
      <formula>$B$49="Allowed"</formula>
    </cfRule>
  </conditionalFormatting>
  <conditionalFormatting sqref="D47:E48">
    <cfRule type="expression" dxfId="0" priority="1">
      <formula>$B$49="Not-Allowed"</formula>
    </cfRule>
  </conditionalFormatting>
  <dataValidations count="7">
    <dataValidation type="list" allowBlank="1" showInputMessage="1" showErrorMessage="1" sqref="J23 FJ23 GJ23" xr:uid="{7F9D9C0C-C21B-D64D-AB87-ED0259AE8D6F}">
      <formula1>$DB$3:$DB$5</formula1>
    </dataValidation>
    <dataValidation type="whole" operator="greaterThanOrEqual" allowBlank="1" showInputMessage="1" showErrorMessage="1" sqref="B9 FB9 GB9" xr:uid="{246B8B73-6180-224F-BD4F-4CE3E996FDB2}">
      <formula1>20</formula1>
    </dataValidation>
    <dataValidation type="whole" allowBlank="1" showInputMessage="1" showErrorMessage="1" sqref="B16 FB16 GB16" xr:uid="{0F89B7B0-CB8C-054E-87FC-3CF7465E838C}">
      <formula1>B9</formula1>
      <formula2>120</formula2>
    </dataValidation>
    <dataValidation type="whole" allowBlank="1" showInputMessage="1" showErrorMessage="1" sqref="B15 FB15 GB15" xr:uid="{6E821CEA-D54D-134A-B68B-56C27699B737}">
      <formula1>B9</formula1>
      <formula2>B16</formula2>
    </dataValidation>
    <dataValidation type="list" allowBlank="1" showInputMessage="1" showErrorMessage="1" sqref="J31 FJ31 GJ31" xr:uid="{6694524E-01DC-6444-AE7D-2165FED62C23}">
      <formula1>$DB$19:$DB$21</formula1>
    </dataValidation>
    <dataValidation type="whole" allowBlank="1" showInputMessage="1" showErrorMessage="1" sqref="J32 FJ32 GJ32" xr:uid="{60B72B94-A524-4449-94E1-371D92E6EE9D}">
      <formula1>1</formula1>
      <formula2>100</formula2>
    </dataValidation>
    <dataValidation type="list" allowBlank="1" showInputMessage="1" showErrorMessage="1" sqref="B49" xr:uid="{219E2E39-38C7-4FFE-8D5C-E928102AF0AE}">
      <formula1>"Allowed,Not-Allowed"</formula1>
    </dataValidation>
  </dataValidations>
  <printOptions headings="1"/>
  <pageMargins left="0.25" right="0.25" top="0.5" bottom="0.5" header="0.3" footer="0.3"/>
  <pageSetup scale="17" orientation="portrait"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138" r:id="rId5" name="Button 114">
              <controlPr defaultSize="0" print="0" autoFill="0" autoPict="0" macro="[0]!Goto_UserGuide">
                <anchor moveWithCells="1">
                  <from>
                    <xdr:col>17</xdr:col>
                    <xdr:colOff>228600</xdr:colOff>
                    <xdr:row>19</xdr:row>
                    <xdr:rowOff>12700</xdr:rowOff>
                  </from>
                  <to>
                    <xdr:col>19</xdr:col>
                    <xdr:colOff>419100</xdr:colOff>
                    <xdr:row>21</xdr:row>
                    <xdr:rowOff>88900</xdr:rowOff>
                  </to>
                </anchor>
              </controlPr>
            </control>
          </mc:Choice>
        </mc:AlternateContent>
        <mc:AlternateContent xmlns:mc="http://schemas.openxmlformats.org/markup-compatibility/2006">
          <mc:Choice Requires="x14">
            <control shapeId="1139" r:id="rId6" name="Button 115">
              <controlPr defaultSize="0" print="0" autoFill="0" autoPict="0" macro="[0]!Goto_WorkArea">
                <anchor moveWithCells="1" sizeWithCells="1">
                  <from>
                    <xdr:col>17</xdr:col>
                    <xdr:colOff>228600</xdr:colOff>
                    <xdr:row>16</xdr:row>
                    <xdr:rowOff>25400</xdr:rowOff>
                  </from>
                  <to>
                    <xdr:col>19</xdr:col>
                    <xdr:colOff>419100</xdr:colOff>
                    <xdr:row>18</xdr:row>
                    <xdr:rowOff>101600</xdr:rowOff>
                  </to>
                </anchor>
              </controlPr>
            </control>
          </mc:Choice>
        </mc:AlternateContent>
        <mc:AlternateContent xmlns:mc="http://schemas.openxmlformats.org/markup-compatibility/2006">
          <mc:Choice Requires="x14">
            <control shapeId="1140" r:id="rId7" name="Button 116">
              <controlPr defaultSize="0" print="0" autoFill="0" autoPict="0" macro="[0]!Goto_ShortfallvsAsset">
                <anchor moveWithCells="1" sizeWithCells="1">
                  <from>
                    <xdr:col>17</xdr:col>
                    <xdr:colOff>254000</xdr:colOff>
                    <xdr:row>8</xdr:row>
                    <xdr:rowOff>0</xdr:rowOff>
                  </from>
                  <to>
                    <xdr:col>19</xdr:col>
                    <xdr:colOff>444500</xdr:colOff>
                    <xdr:row>11</xdr:row>
                    <xdr:rowOff>114300</xdr:rowOff>
                  </to>
                </anchor>
              </controlPr>
            </control>
          </mc:Choice>
        </mc:AlternateContent>
        <mc:AlternateContent xmlns:mc="http://schemas.openxmlformats.org/markup-compatibility/2006">
          <mc:Choice Requires="x14">
            <control shapeId="1141" r:id="rId8" name="Button 117">
              <controlPr defaultSize="0" print="0" autoFill="0" autoPict="0" macro="[0]!Goto_ShortfallvsSavingRate">
                <anchor moveWithCells="1" sizeWithCells="1">
                  <from>
                    <xdr:col>17</xdr:col>
                    <xdr:colOff>241300</xdr:colOff>
                    <xdr:row>12</xdr:row>
                    <xdr:rowOff>0</xdr:rowOff>
                  </from>
                  <to>
                    <xdr:col>19</xdr:col>
                    <xdr:colOff>431800</xdr:colOff>
                    <xdr:row>15</xdr:row>
                    <xdr:rowOff>114300</xdr:rowOff>
                  </to>
                </anchor>
              </controlPr>
            </control>
          </mc:Choice>
        </mc:AlternateContent>
        <mc:AlternateContent xmlns:mc="http://schemas.openxmlformats.org/markup-compatibility/2006">
          <mc:Choice Requires="x14">
            <control shapeId="1142" r:id="rId9" name="Button 118">
              <controlPr defaultSize="0" print="0" autoFill="0" autoPict="0" macro="[0]!Goto_Model">
                <anchor moveWithCells="1" sizeWithCells="1">
                  <from>
                    <xdr:col>104</xdr:col>
                    <xdr:colOff>1104900</xdr:colOff>
                    <xdr:row>26</xdr:row>
                    <xdr:rowOff>190500</xdr:rowOff>
                  </from>
                  <to>
                    <xdr:col>104</xdr:col>
                    <xdr:colOff>2324100</xdr:colOff>
                    <xdr:row>28</xdr:row>
                    <xdr:rowOff>165100</xdr:rowOff>
                  </to>
                </anchor>
              </controlPr>
            </control>
          </mc:Choice>
        </mc:AlternateContent>
        <mc:AlternateContent xmlns:mc="http://schemas.openxmlformats.org/markup-compatibility/2006">
          <mc:Choice Requires="x14">
            <control shapeId="1143" r:id="rId10" name="Button 119">
              <controlPr defaultSize="0" print="0" autoFill="0" autoPict="0" macro="[0]!Goto_Model">
                <anchor moveWithCells="1" sizeWithCells="1">
                  <from>
                    <xdr:col>114</xdr:col>
                    <xdr:colOff>63500</xdr:colOff>
                    <xdr:row>8</xdr:row>
                    <xdr:rowOff>152400</xdr:rowOff>
                  </from>
                  <to>
                    <xdr:col>116</xdr:col>
                    <xdr:colOff>88900</xdr:colOff>
                    <xdr:row>10</xdr:row>
                    <xdr:rowOff>139700</xdr:rowOff>
                  </to>
                </anchor>
              </controlPr>
            </control>
          </mc:Choice>
        </mc:AlternateContent>
        <mc:AlternateContent xmlns:mc="http://schemas.openxmlformats.org/markup-compatibility/2006">
          <mc:Choice Requires="x14">
            <control shapeId="1144" r:id="rId11" name="Button 120">
              <controlPr defaultSize="0" print="0" autoFill="0" autoPict="0" macro="[0]!Goto_Model">
                <anchor moveWithCells="1" sizeWithCells="1">
                  <from>
                    <xdr:col>76</xdr:col>
                    <xdr:colOff>63500</xdr:colOff>
                    <xdr:row>48</xdr:row>
                    <xdr:rowOff>152400</xdr:rowOff>
                  </from>
                  <to>
                    <xdr:col>78</xdr:col>
                    <xdr:colOff>88900</xdr:colOff>
                    <xdr:row>50</xdr:row>
                    <xdr:rowOff>139700</xdr:rowOff>
                  </to>
                </anchor>
              </controlPr>
            </control>
          </mc:Choice>
        </mc:AlternateContent>
        <mc:AlternateContent xmlns:mc="http://schemas.openxmlformats.org/markup-compatibility/2006">
          <mc:Choice Requires="x14">
            <control shapeId="1145" r:id="rId12" name="Button 121">
              <controlPr defaultSize="0" print="0" autoFill="0" autoPict="0" macro="[0]!Goto_Model">
                <anchor moveWithCells="1" sizeWithCells="1">
                  <from>
                    <xdr:col>66</xdr:col>
                    <xdr:colOff>63500</xdr:colOff>
                    <xdr:row>21</xdr:row>
                    <xdr:rowOff>152400</xdr:rowOff>
                  </from>
                  <to>
                    <xdr:col>67</xdr:col>
                    <xdr:colOff>368300</xdr:colOff>
                    <xdr:row>23</xdr:row>
                    <xdr:rowOff>127000</xdr:rowOff>
                  </to>
                </anchor>
              </controlPr>
            </control>
          </mc:Choice>
        </mc:AlternateContent>
        <mc:AlternateContent xmlns:mc="http://schemas.openxmlformats.org/markup-compatibility/2006">
          <mc:Choice Requires="x14">
            <control shapeId="1146" r:id="rId13" name="Button 122">
              <controlPr defaultSize="0" print="0" autoFill="0" autoPict="0" macro="[0]!Goto_CashflowTable">
                <anchor moveWithCells="1" sizeWithCells="1">
                  <from>
                    <xdr:col>17</xdr:col>
                    <xdr:colOff>241300</xdr:colOff>
                    <xdr:row>5</xdr:row>
                    <xdr:rowOff>12700</xdr:rowOff>
                  </from>
                  <to>
                    <xdr:col>19</xdr:col>
                    <xdr:colOff>431800</xdr:colOff>
                    <xdr:row>7</xdr:row>
                    <xdr:rowOff>88900</xdr:rowOff>
                  </to>
                </anchor>
              </controlPr>
            </control>
          </mc:Choice>
        </mc:AlternateContent>
        <mc:AlternateContent xmlns:mc="http://schemas.openxmlformats.org/markup-compatibility/2006">
          <mc:Choice Requires="x14">
            <control shapeId="1147" r:id="rId14" name="Button 123">
              <controlPr defaultSize="0" print="0" autoFill="0" autoPict="0" macro="[0]!Goto_UserGuide">
                <anchor moveWithCells="1">
                  <from>
                    <xdr:col>50</xdr:col>
                    <xdr:colOff>228600</xdr:colOff>
                    <xdr:row>19</xdr:row>
                    <xdr:rowOff>12700</xdr:rowOff>
                  </from>
                  <to>
                    <xdr:col>52</xdr:col>
                    <xdr:colOff>419100</xdr:colOff>
                    <xdr:row>21</xdr:row>
                    <xdr:rowOff>88900</xdr:rowOff>
                  </to>
                </anchor>
              </controlPr>
            </control>
          </mc:Choice>
        </mc:AlternateContent>
        <mc:AlternateContent xmlns:mc="http://schemas.openxmlformats.org/markup-compatibility/2006">
          <mc:Choice Requires="x14">
            <control shapeId="1148" r:id="rId15" name="Button 124">
              <controlPr defaultSize="0" print="0" autoFill="0" autoPict="0" macro="[0]!Goto_WorkArea">
                <anchor moveWithCells="1" sizeWithCells="1">
                  <from>
                    <xdr:col>50</xdr:col>
                    <xdr:colOff>228600</xdr:colOff>
                    <xdr:row>16</xdr:row>
                    <xdr:rowOff>25400</xdr:rowOff>
                  </from>
                  <to>
                    <xdr:col>52</xdr:col>
                    <xdr:colOff>419100</xdr:colOff>
                    <xdr:row>18</xdr:row>
                    <xdr:rowOff>101600</xdr:rowOff>
                  </to>
                </anchor>
              </controlPr>
            </control>
          </mc:Choice>
        </mc:AlternateContent>
        <mc:AlternateContent xmlns:mc="http://schemas.openxmlformats.org/markup-compatibility/2006">
          <mc:Choice Requires="x14">
            <control shapeId="1149" r:id="rId16" name="Button 125">
              <controlPr defaultSize="0" print="0" autoFill="0" autoPict="0" macro="[0]!Goto_ShortfallvsAsset">
                <anchor moveWithCells="1" sizeWithCells="1">
                  <from>
                    <xdr:col>50</xdr:col>
                    <xdr:colOff>254000</xdr:colOff>
                    <xdr:row>8</xdr:row>
                    <xdr:rowOff>0</xdr:rowOff>
                  </from>
                  <to>
                    <xdr:col>52</xdr:col>
                    <xdr:colOff>444500</xdr:colOff>
                    <xdr:row>11</xdr:row>
                    <xdr:rowOff>114300</xdr:rowOff>
                  </to>
                </anchor>
              </controlPr>
            </control>
          </mc:Choice>
        </mc:AlternateContent>
        <mc:AlternateContent xmlns:mc="http://schemas.openxmlformats.org/markup-compatibility/2006">
          <mc:Choice Requires="x14">
            <control shapeId="1150" r:id="rId17" name="Button 126">
              <controlPr defaultSize="0" print="0" autoFill="0" autoPict="0" macro="[0]!Goto_ShortfallvsSavingRate">
                <anchor moveWithCells="1" sizeWithCells="1">
                  <from>
                    <xdr:col>50</xdr:col>
                    <xdr:colOff>241300</xdr:colOff>
                    <xdr:row>12</xdr:row>
                    <xdr:rowOff>0</xdr:rowOff>
                  </from>
                  <to>
                    <xdr:col>52</xdr:col>
                    <xdr:colOff>431800</xdr:colOff>
                    <xdr:row>15</xdr:row>
                    <xdr:rowOff>114300</xdr:rowOff>
                  </to>
                </anchor>
              </controlPr>
            </control>
          </mc:Choice>
        </mc:AlternateContent>
        <mc:AlternateContent xmlns:mc="http://schemas.openxmlformats.org/markup-compatibility/2006">
          <mc:Choice Requires="x14">
            <control shapeId="1151" r:id="rId18" name="Button 127">
              <controlPr defaultSize="0" print="0" autoFill="0" autoPict="0" macro="[0]!Goto_Model">
                <anchor moveWithCells="1" sizeWithCells="1">
                  <from>
                    <xdr:col>50</xdr:col>
                    <xdr:colOff>241300</xdr:colOff>
                    <xdr:row>5</xdr:row>
                    <xdr:rowOff>12700</xdr:rowOff>
                  </from>
                  <to>
                    <xdr:col>52</xdr:col>
                    <xdr:colOff>431800</xdr:colOff>
                    <xdr:row>7</xdr:row>
                    <xdr:rowOff>88900</xdr:rowOff>
                  </to>
                </anchor>
              </controlPr>
            </control>
          </mc:Choice>
        </mc:AlternateContent>
        <mc:AlternateContent xmlns:mc="http://schemas.openxmlformats.org/markup-compatibility/2006">
          <mc:Choice Requires="x14">
            <control shapeId="1170" r:id="rId19" name="Button 146">
              <controlPr defaultSize="0" print="0" autoFill="0" autoPict="0" macro="[0]!BackupUserInputs">
                <anchor moveWithCells="1" sizeWithCells="1">
                  <from>
                    <xdr:col>3</xdr:col>
                    <xdr:colOff>50800</xdr:colOff>
                    <xdr:row>3</xdr:row>
                    <xdr:rowOff>127000</xdr:rowOff>
                  </from>
                  <to>
                    <xdr:col>5</xdr:col>
                    <xdr:colOff>190500</xdr:colOff>
                    <xdr:row>5</xdr:row>
                    <xdr:rowOff>63500</xdr:rowOff>
                  </to>
                </anchor>
              </controlPr>
            </control>
          </mc:Choice>
        </mc:AlternateContent>
        <mc:AlternateContent xmlns:mc="http://schemas.openxmlformats.org/markup-compatibility/2006">
          <mc:Choice Requires="x14">
            <control shapeId="1171" r:id="rId20" name="Button 147">
              <controlPr defaultSize="0" print="0" autoFill="0" autoPict="0" macro="[0]!RestoreUserInputs">
                <anchor moveWithCells="1" sizeWithCells="1">
                  <from>
                    <xdr:col>3</xdr:col>
                    <xdr:colOff>50800</xdr:colOff>
                    <xdr:row>6</xdr:row>
                    <xdr:rowOff>88900</xdr:rowOff>
                  </from>
                  <to>
                    <xdr:col>5</xdr:col>
                    <xdr:colOff>190500</xdr:colOff>
                    <xdr:row>8</xdr:row>
                    <xdr:rowOff>25400</xdr:rowOff>
                  </to>
                </anchor>
              </controlPr>
            </control>
          </mc:Choice>
        </mc:AlternateContent>
        <mc:AlternateContent xmlns:mc="http://schemas.openxmlformats.org/markup-compatibility/2006">
          <mc:Choice Requires="x14">
            <control shapeId="1172" r:id="rId21" name="Button 148">
              <controlPr defaultSize="0" print="0" autoFill="0" autoPict="0" macro="[0]!RestoreDefaultInputs">
                <anchor moveWithCells="1" sizeWithCells="1">
                  <from>
                    <xdr:col>3</xdr:col>
                    <xdr:colOff>50800</xdr:colOff>
                    <xdr:row>0</xdr:row>
                    <xdr:rowOff>241300</xdr:rowOff>
                  </from>
                  <to>
                    <xdr:col>5</xdr:col>
                    <xdr:colOff>190500</xdr:colOff>
                    <xdr:row>2</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User Guide</vt:lpstr>
      <vt:lpstr>Model</vt:lpstr>
      <vt:lpstr>CurrentAge</vt:lpstr>
      <vt:lpstr>NTrials</vt:lpstr>
      <vt:lpstr>PlanningHorizon</vt:lpstr>
      <vt:lpstr>RandomSeed</vt:lpstr>
      <vt:lpstr>ReqSavingRate</vt:lpstr>
      <vt:lpstr>RetirementAge</vt:lpstr>
      <vt:lpstr>SavingRate</vt:lpstr>
      <vt:lpstr>SavingRateCopy</vt:lpstr>
      <vt:lpstr>SavingRateReq</vt:lpstr>
      <vt:lpstr>Shortfall</vt:lpstr>
      <vt:lpstr>Trial_Store</vt:lpstr>
    </vt:vector>
  </TitlesOfParts>
  <Company>Syracuse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 Shukla</dc:creator>
  <cp:lastModifiedBy>Microsoft Office User</cp:lastModifiedBy>
  <cp:lastPrinted>2019-11-04T01:20:35Z</cp:lastPrinted>
  <dcterms:created xsi:type="dcterms:W3CDTF">2012-11-05T13:21:16Z</dcterms:created>
  <dcterms:modified xsi:type="dcterms:W3CDTF">2021-05-15T21:43:50Z</dcterms:modified>
</cp:coreProperties>
</file>